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.xml" ContentType="application/vnd.ms-excel.person+xml"/>
  <Override PartName="/xl/persons/person2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27F60B3-72CA-4FE4-BB01-E30E523966DE}" xr6:coauthVersionLast="47" xr6:coauthVersionMax="47" xr10:uidLastSave="{00000000-0000-0000-0000-000000000000}"/>
  <bookViews>
    <workbookView xWindow="-120" yWindow="-120" windowWidth="20730" windowHeight="11160" xr2:uid="{2D2D9867-D8C6-4F1C-9C4D-A613488C035A}"/>
  </bookViews>
  <sheets>
    <sheet name="Menu" sheetId="1" r:id="rId1"/>
    <sheet name="Cadastro_Desperdício" sheetId="2" r:id="rId2"/>
    <sheet name="Base_Valores" sheetId="6" r:id="rId3"/>
    <sheet name="Resultados" sheetId="7" r:id="rId4"/>
    <sheet name="Dashboard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4" i="5" l="1"/>
  <c r="N4" i="5"/>
  <c r="L16" i="7"/>
  <c r="H19" i="6"/>
  <c r="P13" i="7" s="1"/>
  <c r="K16" i="7" l="1"/>
  <c r="L24" i="7"/>
  <c r="M24" i="7" s="1"/>
  <c r="N24" i="7" s="1"/>
  <c r="K24" i="7"/>
  <c r="L20" i="7"/>
  <c r="M20" i="7" s="1"/>
  <c r="K20" i="7"/>
  <c r="L14" i="7"/>
  <c r="M14" i="7" s="1"/>
  <c r="N14" i="7" s="1"/>
  <c r="K23" i="7"/>
  <c r="K19" i="7"/>
  <c r="K15" i="7"/>
  <c r="L23" i="7"/>
  <c r="M23" i="7" s="1"/>
  <c r="N23" i="7" s="1"/>
  <c r="L19" i="7"/>
  <c r="M19" i="7" s="1"/>
  <c r="N19" i="7" s="1"/>
  <c r="L13" i="7"/>
  <c r="M13" i="7" s="1"/>
  <c r="N13" i="7" s="1"/>
  <c r="K22" i="7"/>
  <c r="K18" i="7"/>
  <c r="K14" i="7"/>
  <c r="L22" i="7"/>
  <c r="M22" i="7" s="1"/>
  <c r="N22" i="7" s="1"/>
  <c r="L18" i="7"/>
  <c r="M18" i="7" s="1"/>
  <c r="N18" i="7" s="1"/>
  <c r="K21" i="7"/>
  <c r="K17" i="7"/>
  <c r="K13" i="7"/>
  <c r="T29" i="5" s="1"/>
  <c r="L21" i="7"/>
  <c r="M21" i="7" s="1"/>
  <c r="N21" i="7" s="1"/>
  <c r="L17" i="7"/>
  <c r="M17" i="7" s="1"/>
  <c r="N17" i="7" s="1"/>
  <c r="L15" i="7"/>
  <c r="M15" i="7" s="1"/>
  <c r="N15" i="7" s="1"/>
  <c r="T30" i="5"/>
  <c r="M16" i="7"/>
  <c r="N16" i="7" s="1"/>
  <c r="N20" i="7" l="1"/>
  <c r="T32" i="5" s="1"/>
  <c r="T31" i="5"/>
</calcChain>
</file>

<file path=xl/sharedStrings.xml><?xml version="1.0" encoding="utf-8"?>
<sst xmlns="http://schemas.openxmlformats.org/spreadsheetml/2006/main" count="83" uniqueCount="63">
  <si>
    <t>Dia</t>
  </si>
  <si>
    <t>Mês</t>
  </si>
  <si>
    <t>Ano</t>
  </si>
  <si>
    <t>Peso (em Kg)</t>
  </si>
  <si>
    <t>Responsável pelo registro</t>
  </si>
  <si>
    <t>Menu</t>
  </si>
  <si>
    <t>Registro de Desperdício Diário</t>
  </si>
  <si>
    <t>Alimento</t>
  </si>
  <si>
    <t>Macarrão</t>
  </si>
  <si>
    <t>Arroz</t>
  </si>
  <si>
    <t>Feijão</t>
  </si>
  <si>
    <t>Carne Vermelha</t>
  </si>
  <si>
    <t>Carne Branca</t>
  </si>
  <si>
    <t>Legumes e Verduras</t>
  </si>
  <si>
    <t>Frutas</t>
  </si>
  <si>
    <t>Hortaliças</t>
  </si>
  <si>
    <t>Outros</t>
  </si>
  <si>
    <t>Preço (por Kg)</t>
  </si>
  <si>
    <t>Março</t>
  </si>
  <si>
    <t>Valor, em reais, desperdiçado (média)</t>
  </si>
  <si>
    <t>Abril</t>
  </si>
  <si>
    <t>Maio</t>
  </si>
  <si>
    <t>Junho</t>
  </si>
  <si>
    <t>Julho</t>
  </si>
  <si>
    <t>Total Kilos</t>
  </si>
  <si>
    <t>Total Valor</t>
  </si>
  <si>
    <t>Kg:</t>
  </si>
  <si>
    <t>Visão Geral:</t>
  </si>
  <si>
    <t>Projeto Gentileza - CIEP 117: Controle de Desperdício de Alimentos</t>
  </si>
  <si>
    <t>1.</t>
  </si>
  <si>
    <t>2.</t>
  </si>
  <si>
    <t>3.</t>
  </si>
  <si>
    <t>4.</t>
  </si>
  <si>
    <t>Indície Planilhas:</t>
  </si>
  <si>
    <t>Cadastrar Desperdício</t>
  </si>
  <si>
    <t>Preços dos Alimentos</t>
  </si>
  <si>
    <t>Resultados</t>
  </si>
  <si>
    <t>Gráficos</t>
  </si>
  <si>
    <t>Último registro no arquivo:</t>
  </si>
  <si>
    <t>Resultados do Desperdício:</t>
  </si>
  <si>
    <t>Cadastro de Desperdício:</t>
  </si>
  <si>
    <t>Base de Preços dos Alimentos (cálculo média):</t>
  </si>
  <si>
    <t>Valor</t>
  </si>
  <si>
    <t>Janeiro</t>
  </si>
  <si>
    <t>Fevereiro</t>
  </si>
  <si>
    <t>Agosto</t>
  </si>
  <si>
    <t>Setembro</t>
  </si>
  <si>
    <t>Outubro</t>
  </si>
  <si>
    <t>Novembro</t>
  </si>
  <si>
    <t>Dezembro</t>
  </si>
  <si>
    <t>Verba por ref.</t>
  </si>
  <si>
    <t>Verba Mensal</t>
  </si>
  <si>
    <t>Qnt. Alunos</t>
  </si>
  <si>
    <t>Custo por refeição</t>
  </si>
  <si>
    <t>Refeições desperdiçadas</t>
  </si>
  <si>
    <t>Qnts alunos seriam alimentados?</t>
  </si>
  <si>
    <t>Valor:</t>
  </si>
  <si>
    <t>Kilos:</t>
  </si>
  <si>
    <t>Alunos que seriam alimentados:</t>
  </si>
  <si>
    <t>Resumo do mês de :</t>
  </si>
  <si>
    <t>Refeições desperdiçadas:</t>
  </si>
  <si>
    <t>Anna</t>
  </si>
  <si>
    <t>15/04/2024 10:16:09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</si>
</sst>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omic Sans MS"/>
      <family val="4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F9943B"/>
      <name val="Comic Sans MS"/>
      <family val="4"/>
    </font>
    <font>
      <sz val="11"/>
      <color rgb="FFF9943B"/>
      <name val="Calibri"/>
      <family val="2"/>
      <scheme val="minor"/>
    </font>
    <font>
      <sz val="14"/>
      <color rgb="FFF9943B"/>
      <name val="Calibri"/>
      <family val="2"/>
      <scheme val="minor"/>
    </font>
    <font>
      <b/>
      <sz val="14"/>
      <color rgb="FFF9943B"/>
      <name val="Comic Sans MS"/>
      <family val="4"/>
    </font>
    <font>
      <b/>
      <sz val="12"/>
      <color rgb="FFF9943B"/>
      <name val="Comic Sans MS"/>
      <family val="4"/>
    </font>
    <font>
      <sz val="12"/>
      <color theme="1"/>
      <name val="Calibri"/>
      <family val="2"/>
      <scheme val="minor"/>
    </font>
    <font>
      <b/>
      <sz val="11"/>
      <color rgb="FFF9943B"/>
      <name val="Comic Sans MS"/>
      <family val="4"/>
    </font>
    <font>
      <sz val="12"/>
      <color rgb="FFF9943B"/>
      <name val="Comic Sans MS"/>
      <family val="4"/>
    </font>
    <font>
      <sz val="8"/>
      <name val="Calibri"/>
      <family val="2"/>
      <scheme val="minor"/>
    </font>
    <font>
      <sz val="11"/>
      <color rgb="FFF9943B"/>
      <name val="Comic Sans MS"/>
      <family val="4"/>
    </font>
    <font>
      <b/>
      <sz val="24"/>
      <color rgb="FFF9943B"/>
      <name val="Comic Sans MS"/>
      <family val="4"/>
    </font>
    <font>
      <sz val="28"/>
      <color rgb="FFF9943B"/>
      <name val="Comic Sans MS"/>
      <family val="4"/>
    </font>
    <font>
      <b/>
      <sz val="28"/>
      <color rgb="FFF9943B"/>
      <name val="Comic Sans MS"/>
      <family val="4"/>
    </font>
    <font>
      <u/>
      <sz val="11"/>
      <color theme="10"/>
      <name val="Calibri"/>
      <family val="2"/>
      <scheme val="minor"/>
    </font>
    <font>
      <u/>
      <sz val="12"/>
      <color rgb="FFF9943B"/>
      <name val="Comic Sans MS"/>
      <family val="4"/>
    </font>
    <font>
      <b/>
      <sz val="14"/>
      <color theme="0"/>
      <name val="Comic Sans MS"/>
      <family val="4"/>
    </font>
    <font>
      <sz val="11"/>
      <color rgb="FFFEF2E8"/>
      <name val="Calibri"/>
      <family val="2"/>
      <scheme val="minor"/>
    </font>
    <font>
      <b/>
      <sz val="18"/>
      <color rgb="FFF9943B"/>
      <name val="Calibri"/>
      <family val="2"/>
      <scheme val="minor"/>
    </font>
    <font>
      <b/>
      <sz val="18"/>
      <color rgb="FFF9943B"/>
      <name val="Comic Sans MS"/>
      <family val="4"/>
    </font>
  </fonts>
  <fills count="4">
    <fill>
      <patternFill patternType="none"/>
    </fill>
    <fill>
      <patternFill patternType="gray125"/>
    </fill>
    <fill>
      <patternFill patternType="solid">
        <fgColor rgb="FFF9943B"/>
        <bgColor indexed="64"/>
      </patternFill>
    </fill>
    <fill>
      <patternFill patternType="solid">
        <fgColor rgb="FFFEF2E8"/>
        <bgColor indexed="64"/>
      </patternFill>
    </fill>
  </fills>
  <borders count="18">
    <border>
      <left/>
      <right/>
      <top/>
      <bottom/>
      <diagonal/>
    </border>
    <border>
      <left style="thick">
        <color rgb="FFF9943B"/>
      </left>
      <right/>
      <top style="thick">
        <color rgb="FFF9943B"/>
      </top>
      <bottom/>
      <diagonal/>
    </border>
    <border>
      <left/>
      <right/>
      <top style="thick">
        <color rgb="FFF9943B"/>
      </top>
      <bottom/>
      <diagonal/>
    </border>
    <border>
      <left/>
      <right style="thick">
        <color rgb="FFF9943B"/>
      </right>
      <top style="thick">
        <color rgb="FFF9943B"/>
      </top>
      <bottom/>
      <diagonal/>
    </border>
    <border>
      <left style="thick">
        <color rgb="FFF9943B"/>
      </left>
      <right/>
      <top/>
      <bottom style="thick">
        <color rgb="FFF9943B"/>
      </bottom>
      <diagonal/>
    </border>
    <border>
      <left/>
      <right/>
      <top/>
      <bottom style="thick">
        <color rgb="FFF9943B"/>
      </bottom>
      <diagonal/>
    </border>
    <border>
      <left style="thick">
        <color theme="7"/>
      </left>
      <right/>
      <top style="thick">
        <color theme="7"/>
      </top>
      <bottom/>
      <diagonal/>
    </border>
    <border>
      <left/>
      <right/>
      <top style="thick">
        <color theme="7"/>
      </top>
      <bottom/>
      <diagonal/>
    </border>
    <border>
      <left/>
      <right style="thick">
        <color theme="7"/>
      </right>
      <top style="thick">
        <color theme="7"/>
      </top>
      <bottom/>
      <diagonal/>
    </border>
    <border>
      <left style="thick">
        <color theme="7"/>
      </left>
      <right/>
      <top/>
      <bottom/>
      <diagonal/>
    </border>
    <border>
      <left/>
      <right style="thick">
        <color theme="7"/>
      </right>
      <top/>
      <bottom/>
      <diagonal/>
    </border>
    <border>
      <left style="thick">
        <color theme="7"/>
      </left>
      <right/>
      <top/>
      <bottom style="thick">
        <color theme="7"/>
      </bottom>
      <diagonal/>
    </border>
    <border>
      <left/>
      <right/>
      <top/>
      <bottom style="thick">
        <color theme="7"/>
      </bottom>
      <diagonal/>
    </border>
    <border>
      <left/>
      <right style="thick">
        <color theme="7"/>
      </right>
      <top/>
      <bottom style="thick">
        <color theme="7"/>
      </bottom>
      <diagonal/>
    </border>
    <border>
      <left/>
      <right style="thick">
        <color rgb="FFF9943B"/>
      </right>
      <top/>
      <bottom/>
      <diagonal/>
    </border>
    <border>
      <left style="thick">
        <color theme="7"/>
      </left>
      <right/>
      <top style="thick">
        <color theme="7"/>
      </top>
      <bottom style="thick">
        <color theme="7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/>
      <right style="thick">
        <color theme="7"/>
      </right>
      <top style="thick">
        <color theme="7"/>
      </top>
      <bottom style="thick">
        <color theme="7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117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0" xfId="0" applyFill="1"/>
    <xf numFmtId="0" fontId="1" fillId="3" borderId="0" xfId="0" applyFont="1" applyFill="1"/>
    <xf numFmtId="0" fontId="4" fillId="2" borderId="0" xfId="0" applyFont="1" applyFill="1"/>
    <xf numFmtId="0" fontId="12" fillId="0" borderId="0" xfId="0" applyFont="1" applyAlignment="1">
      <alignment horizontal="center"/>
    </xf>
    <xf numFmtId="0" fontId="2" fillId="2" borderId="0" xfId="0" applyFont="1" applyFill="1"/>
    <xf numFmtId="0" fontId="12" fillId="0" borderId="0" xfId="0" applyFont="1"/>
    <xf numFmtId="0" fontId="10" fillId="3" borderId="0" xfId="0" applyFont="1" applyFill="1"/>
    <xf numFmtId="164" fontId="12" fillId="0" borderId="0" xfId="2" applyNumberFormat="1" applyFont="1" applyAlignment="1">
      <alignment horizontal="center"/>
    </xf>
    <xf numFmtId="164" fontId="12" fillId="0" borderId="0" xfId="1" applyNumberFormat="1" applyFont="1" applyAlignment="1">
      <alignment horizontal="center"/>
    </xf>
    <xf numFmtId="164" fontId="10" fillId="3" borderId="0" xfId="0" applyNumberFormat="1" applyFont="1" applyFill="1"/>
    <xf numFmtId="0" fontId="14" fillId="0" borderId="0" xfId="0" applyFont="1" applyAlignment="1">
      <alignment horizontal="center"/>
    </xf>
    <xf numFmtId="0" fontId="6" fillId="2" borderId="0" xfId="0" applyFont="1" applyFill="1"/>
    <xf numFmtId="0" fontId="0" fillId="2" borderId="0" xfId="0" applyFill="1"/>
    <xf numFmtId="14" fontId="0" fillId="3" borderId="0" xfId="0" applyNumberFormat="1" applyFill="1"/>
    <xf numFmtId="22" fontId="0" fillId="3" borderId="0" xfId="0" applyNumberFormat="1" applyFill="1"/>
    <xf numFmtId="0" fontId="11" fillId="0" borderId="0" xfId="0" applyFont="1" applyAlignment="1">
      <alignment horizontal="center"/>
    </xf>
    <xf numFmtId="0" fontId="11" fillId="3" borderId="0" xfId="0" applyFont="1" applyFill="1" applyAlignment="1">
      <alignment vertical="center" wrapText="1"/>
    </xf>
    <xf numFmtId="0" fontId="11" fillId="3" borderId="0" xfId="0" applyFont="1" applyFill="1"/>
    <xf numFmtId="0" fontId="0" fillId="2" borderId="12" xfId="0" applyFill="1" applyBorder="1"/>
    <xf numFmtId="0" fontId="9" fillId="0" borderId="9" xfId="0" applyFont="1" applyBorder="1"/>
    <xf numFmtId="0" fontId="19" fillId="0" borderId="10" xfId="3" applyFont="1" applyFill="1" applyBorder="1"/>
    <xf numFmtId="0" fontId="9" fillId="0" borderId="11" xfId="0" applyFont="1" applyBorder="1"/>
    <xf numFmtId="0" fontId="19" fillId="0" borderId="13" xfId="3" applyFont="1" applyFill="1" applyBorder="1"/>
    <xf numFmtId="0" fontId="4" fillId="2" borderId="12" xfId="0" applyFont="1" applyFill="1" applyBorder="1"/>
    <xf numFmtId="0" fontId="7" fillId="2" borderId="0" xfId="0" applyFont="1" applyFill="1"/>
    <xf numFmtId="0" fontId="5" fillId="2" borderId="2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6" fillId="2" borderId="12" xfId="0" applyFont="1" applyFill="1" applyBorder="1"/>
    <xf numFmtId="0" fontId="1" fillId="2" borderId="0" xfId="0" applyFont="1" applyFill="1"/>
    <xf numFmtId="0" fontId="5" fillId="2" borderId="5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164" fontId="14" fillId="0" borderId="0" xfId="0" applyNumberFormat="1" applyFont="1" applyAlignment="1">
      <alignment horizontal="center"/>
    </xf>
    <xf numFmtId="0" fontId="20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1" fontId="14" fillId="0" borderId="0" xfId="0" applyNumberFormat="1" applyFont="1" applyAlignment="1">
      <alignment horizontal="center"/>
    </xf>
    <xf numFmtId="1" fontId="14" fillId="0" borderId="0" xfId="1" applyNumberFormat="1" applyFont="1" applyFill="1" applyAlignment="1">
      <alignment horizontal="center"/>
    </xf>
    <xf numFmtId="44" fontId="14" fillId="0" borderId="0" xfId="2" applyFont="1" applyAlignment="1">
      <alignment horizontal="center"/>
    </xf>
    <xf numFmtId="0" fontId="21" fillId="3" borderId="0" xfId="0" applyFont="1" applyFill="1"/>
    <xf numFmtId="44" fontId="0" fillId="3" borderId="0" xfId="0" applyNumberFormat="1" applyFill="1"/>
    <xf numFmtId="0" fontId="2" fillId="2" borderId="6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0" borderId="0" xfId="0" applyFont="1" applyAlignment="1">
      <alignment horizontal="center" wrapText="1"/>
    </xf>
    <xf numFmtId="164" fontId="12" fillId="3" borderId="0" xfId="1" applyNumberFormat="1" applyFont="1" applyFill="1" applyAlignment="1">
      <alignment horizontal="center"/>
    </xf>
    <xf numFmtId="0" fontId="11" fillId="0" borderId="6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22" fontId="14" fillId="0" borderId="11" xfId="0" applyNumberFormat="1" applyFont="1" applyBorder="1" applyAlignment="1">
      <alignment horizontal="center"/>
    </xf>
    <xf numFmtId="22" fontId="14" fillId="0" borderId="13" xfId="0" applyNumberFormat="1" applyFont="1" applyBorder="1" applyAlignment="1">
      <alignment horizont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64" fontId="12" fillId="0" borderId="0" xfId="1" applyNumberFormat="1" applyFont="1" applyAlignment="1">
      <alignment horizontal="center"/>
    </xf>
    <xf numFmtId="0" fontId="12" fillId="0" borderId="0" xfId="0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43" fontId="12" fillId="0" borderId="0" xfId="1" applyFont="1" applyBorder="1" applyAlignment="1">
      <alignment horizontal="center"/>
    </xf>
    <xf numFmtId="43" fontId="12" fillId="0" borderId="10" xfId="1" applyFont="1" applyBorder="1" applyAlignment="1">
      <alignment horizontal="center"/>
    </xf>
    <xf numFmtId="1" fontId="12" fillId="0" borderId="0" xfId="0" applyNumberFormat="1" applyFont="1" applyAlignment="1">
      <alignment horizontal="center"/>
    </xf>
    <xf numFmtId="1" fontId="12" fillId="0" borderId="10" xfId="0" applyNumberFormat="1" applyFont="1" applyBorder="1" applyAlignment="1">
      <alignment horizontal="center"/>
    </xf>
    <xf numFmtId="1" fontId="12" fillId="0" borderId="12" xfId="0" applyNumberFormat="1" applyFont="1" applyBorder="1" applyAlignment="1">
      <alignment horizontal="center"/>
    </xf>
    <xf numFmtId="1" fontId="12" fillId="0" borderId="13" xfId="0" applyNumberFormat="1" applyFont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1" fontId="22" fillId="0" borderId="9" xfId="0" applyNumberFormat="1" applyFont="1" applyBorder="1" applyAlignment="1">
      <alignment horizontal="center" vertical="center"/>
    </xf>
    <xf numFmtId="1" fontId="22" fillId="0" borderId="0" xfId="0" applyNumberFormat="1" applyFont="1" applyBorder="1" applyAlignment="1">
      <alignment horizontal="center" vertical="center"/>
    </xf>
    <xf numFmtId="1" fontId="22" fillId="0" borderId="10" xfId="0" applyNumberFormat="1" applyFont="1" applyBorder="1" applyAlignment="1">
      <alignment horizontal="center" vertical="center"/>
    </xf>
    <xf numFmtId="1" fontId="22" fillId="0" borderId="11" xfId="0" applyNumberFormat="1" applyFont="1" applyBorder="1" applyAlignment="1">
      <alignment horizontal="center" vertical="center"/>
    </xf>
    <xf numFmtId="1" fontId="22" fillId="0" borderId="12" xfId="0" applyNumberFormat="1" applyFont="1" applyBorder="1" applyAlignment="1">
      <alignment horizontal="center" vertical="center"/>
    </xf>
    <xf numFmtId="1" fontId="22" fillId="0" borderId="13" xfId="0" applyNumberFormat="1" applyFont="1" applyBorder="1" applyAlignment="1">
      <alignment horizontal="center" vertical="center"/>
    </xf>
    <xf numFmtId="2" fontId="22" fillId="0" borderId="9" xfId="0" applyNumberFormat="1" applyFont="1" applyBorder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2" fontId="23" fillId="0" borderId="10" xfId="0" applyNumberFormat="1" applyFont="1" applyBorder="1" applyAlignment="1">
      <alignment horizontal="center" vertical="center"/>
    </xf>
    <xf numFmtId="2" fontId="23" fillId="0" borderId="9" xfId="0" applyNumberFormat="1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/>
    </xf>
    <xf numFmtId="2" fontId="23" fillId="0" borderId="12" xfId="0" applyNumberFormat="1" applyFont="1" applyBorder="1" applyAlignment="1">
      <alignment horizontal="center" vertical="center"/>
    </xf>
    <xf numFmtId="2" fontId="23" fillId="0" borderId="13" xfId="0" applyNumberFormat="1" applyFont="1" applyBorder="1" applyAlignment="1">
      <alignment horizontal="center" vertical="center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33">
    <dxf>
      <font>
        <strike val="0"/>
        <outline val="0"/>
        <shadow val="0"/>
        <u val="none"/>
        <vertAlign val="baseline"/>
        <sz val="11"/>
        <color rgb="FFF9943B"/>
        <name val="Comic Sans MS"/>
        <family val="4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9943B"/>
        <name val="Comic Sans MS"/>
        <family val="4"/>
        <scheme val="none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9943B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9943B"/>
        <name val="Comic Sans MS"/>
        <family val="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9943B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9943B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scheme val="none"/>
      </font>
      <fill>
        <patternFill patternType="solid">
          <fgColor indexed="64"/>
          <bgColor rgb="FFF9943B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scheme val="none"/>
      </font>
      <fill>
        <patternFill patternType="solid">
          <fgColor indexed="64"/>
          <bgColor rgb="FFF9943B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943B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scheme val="none"/>
      </font>
      <fill>
        <patternFill patternType="solid">
          <fgColor indexed="64"/>
          <bgColor rgb="FFF9943B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9943B"/>
      <color rgb="FFFEF2E8"/>
      <color rgb="FFFEE9D6"/>
      <color rgb="FF9ADFF8"/>
      <color rgb="FFFBB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1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2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9943B"/>
                </a:solidFill>
                <a:latin typeface="Comic Sans MS" panose="030F0702030302020204" pitchFamily="66" charset="0"/>
              </a:rPr>
              <a:t>Kilos</a:t>
            </a:r>
            <a:r>
              <a:rPr lang="en-US" baseline="0">
                <a:solidFill>
                  <a:srgbClr val="F9943B"/>
                </a:solidFill>
                <a:latin typeface="Comic Sans MS" panose="030F0702030302020204" pitchFamily="66" charset="0"/>
              </a:rPr>
              <a:t> </a:t>
            </a:r>
            <a:r>
              <a:rPr lang="en-US">
                <a:solidFill>
                  <a:srgbClr val="F9943B"/>
                </a:solidFill>
                <a:latin typeface="Comic Sans MS" panose="030F0702030302020204" pitchFamily="66" charset="0"/>
              </a:rPr>
              <a:t>Desperdiçados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Resultados!$K$12</c:f>
              <c:strCache>
                <c:ptCount val="1"/>
                <c:pt idx="0">
                  <c:v>Peso (em Kg)</c:v>
                </c:pt>
              </c:strCache>
            </c:strRef>
          </c:tx>
          <c:spPr>
            <a:solidFill>
              <a:schemeClr val="accent4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Resultados!$J$13:$J$24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Resultados!$K$13:$K$24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17-4DBF-85D6-92758376DE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534566088"/>
        <c:axId val="5345686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Resultados!$L$12</c15:sqref>
                        </c15:formulaRef>
                      </c:ext>
                    </c:extLst>
                    <c:strCache>
                      <c:ptCount val="1"/>
                      <c:pt idx="0">
                        <c:v>Valor</c:v>
                      </c:pt>
                    </c:strCache>
                  </c:strRef>
                </c:tx>
                <c:spPr>
                  <a:solidFill>
                    <a:schemeClr val="accent4">
                      <a:tint val="77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Resultados!$J$13:$J$24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Resultados!$L$13:$L$24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49.9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B417-4DBF-85D6-92758376DE8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Resultados!$M$12</c15:sqref>
                        </c15:formulaRef>
                      </c:ext>
                    </c:extLst>
                    <c:strCache>
                      <c:ptCount val="1"/>
                      <c:pt idx="0">
                        <c:v>Refeições desperdiçadas</c:v>
                      </c:pt>
                    </c:strCache>
                  </c:strRef>
                </c:tx>
                <c:spPr>
                  <a:solidFill>
                    <a:schemeClr val="accent4">
                      <a:tint val="8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Resultados!$J$13:$J$24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Resultados!$M$13:$M$24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62.62854980236046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 formatCode="&quot;R$&quot;\ #,##0.00">
                        <c:v>0</c:v>
                      </c:pt>
                      <c:pt idx="8" formatCode="&quot;R$&quot;\ #,##0.00">
                        <c:v>0</c:v>
                      </c:pt>
                      <c:pt idx="9" formatCode="&quot;R$&quot;\ #,##0.00">
                        <c:v>0</c:v>
                      </c:pt>
                      <c:pt idx="10" formatCode="&quot;R$&quot;\ #,##0.00">
                        <c:v>0</c:v>
                      </c:pt>
                      <c:pt idx="11" formatCode="&quot;R$&quot;\ #,##0.0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FF5-4172-8FE4-120E72E95C2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Resultados!$N$12</c15:sqref>
                        </c15:formulaRef>
                      </c:ext>
                    </c:extLst>
                    <c:strCache>
                      <c:ptCount val="1"/>
                      <c:pt idx="0">
                        <c:v>Qnts alunos seriam alimentados?</c:v>
                      </c:pt>
                    </c:strCache>
                  </c:strRef>
                </c:tx>
                <c:spPr>
                  <a:solidFill>
                    <a:schemeClr val="accent4">
                      <a:tint val="58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Resultados!$J$13:$J$24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Resultados!$N$13:$N$24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15.657137450590115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FF5-4172-8FE4-120E72E95C2B}"/>
                  </c:ext>
                </c:extLst>
              </c15:ser>
            </c15:filteredBarSeries>
          </c:ext>
        </c:extLst>
      </c:barChart>
      <c:catAx>
        <c:axId val="534566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rgbClr val="F9943B"/>
                </a:solidFill>
                <a:latin typeface="Comic Sans MS" panose="030F0702030302020204" pitchFamily="66" charset="0"/>
                <a:ea typeface="+mn-ea"/>
                <a:cs typeface="+mn-cs"/>
              </a:defRPr>
            </a:pPr>
            <a:endParaRPr lang="pt-BR"/>
          </a:p>
        </c:txPr>
        <c:crossAx val="534568608"/>
        <c:crosses val="autoZero"/>
        <c:auto val="1"/>
        <c:lblAlgn val="ctr"/>
        <c:lblOffset val="100"/>
        <c:noMultiLvlLbl val="0"/>
      </c:catAx>
      <c:valAx>
        <c:axId val="534568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456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rgbClr val="F9943B"/>
                </a:solidFill>
                <a:latin typeface="Comic Sans MS" panose="030F0702030302020204" pitchFamily="66" charset="0"/>
              </a:rPr>
              <a:t>VALOR</a:t>
            </a:r>
            <a:r>
              <a:rPr lang="en-US" sz="1800" b="1" baseline="0">
                <a:solidFill>
                  <a:srgbClr val="F9943B"/>
                </a:solidFill>
                <a:latin typeface="Comic Sans MS" panose="030F0702030302020204" pitchFamily="66" charset="0"/>
              </a:rPr>
              <a:t> DESPERDIÇADO POR MÊS</a:t>
            </a:r>
            <a:endParaRPr lang="en-US" sz="1800" b="1">
              <a:solidFill>
                <a:srgbClr val="F9943B"/>
              </a:solidFill>
              <a:latin typeface="Comic Sans MS" panose="030F0702030302020204" pitchFamily="66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Resultados!$L$12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Resultados!$J$13:$J$24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Resultados!$L$13:$L$24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F5-436B-9772-A8E2A1BE7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8700120"/>
        <c:axId val="4019468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Resultados!$K$12</c15:sqref>
                        </c15:formulaRef>
                      </c:ext>
                    </c:extLst>
                    <c:strCache>
                      <c:ptCount val="1"/>
                      <c:pt idx="0">
                        <c:v>Peso (em Kg)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shade val="58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Resultados!$J$13:$J$24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Resultados!$K$13:$K$24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6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CF5-436B-9772-A8E2A1BE70E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Resultados!$M$12</c15:sqref>
                        </c15:formulaRef>
                      </c:ext>
                    </c:extLst>
                    <c:strCache>
                      <c:ptCount val="1"/>
                      <c:pt idx="0">
                        <c:v>Refeições desperdiçadas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tint val="86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Resultados!$J$13:$J$24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Resultados!$M$13:$M$24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62.62854980236046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 formatCode="&quot;R$&quot;\ #,##0.00">
                        <c:v>0</c:v>
                      </c:pt>
                      <c:pt idx="8" formatCode="&quot;R$&quot;\ #,##0.00">
                        <c:v>0</c:v>
                      </c:pt>
                      <c:pt idx="9" formatCode="&quot;R$&quot;\ #,##0.00">
                        <c:v>0</c:v>
                      </c:pt>
                      <c:pt idx="10" formatCode="&quot;R$&quot;\ #,##0.00">
                        <c:v>0</c:v>
                      </c:pt>
                      <c:pt idx="11" formatCode="&quot;R$&quot;\ #,##0.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868-4E58-A432-B61148C40AA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Resultados!$N$12</c15:sqref>
                        </c15:formulaRef>
                      </c:ext>
                    </c:extLst>
                    <c:strCache>
                      <c:ptCount val="1"/>
                      <c:pt idx="0">
                        <c:v>Qnts alunos seriam alimentados?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tint val="58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Resultados!$J$13:$J$24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Resultados!$N$13:$N$24</c15:sqref>
                        </c15:formulaRef>
                      </c:ext>
                    </c:extLst>
                    <c:numCache>
                      <c:formatCode>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15.657137450590115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868-4E58-A432-B61148C40AAF}"/>
                  </c:ext>
                </c:extLst>
              </c15:ser>
            </c15:filteredLineSeries>
          </c:ext>
        </c:extLst>
      </c:lineChart>
      <c:catAx>
        <c:axId val="538700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9943B"/>
                </a:solidFill>
                <a:latin typeface="Comic Sans MS" panose="030F0702030302020204" pitchFamily="66" charset="0"/>
                <a:ea typeface="+mn-ea"/>
                <a:cs typeface="+mn-cs"/>
              </a:defRPr>
            </a:pPr>
            <a:endParaRPr lang="pt-BR"/>
          </a:p>
        </c:txPr>
        <c:crossAx val="401946808"/>
        <c:crosses val="autoZero"/>
        <c:auto val="1"/>
        <c:lblAlgn val="ctr"/>
        <c:lblOffset val="100"/>
        <c:noMultiLvlLbl val="0"/>
      </c:catAx>
      <c:valAx>
        <c:axId val="401946808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9943B"/>
                </a:solidFill>
                <a:latin typeface="Comic Sans MS" panose="030F0702030302020204" pitchFamily="66" charset="0"/>
                <a:ea typeface="+mn-ea"/>
                <a:cs typeface="+mn-cs"/>
              </a:defRPr>
            </a:pPr>
            <a:endParaRPr lang="pt-BR"/>
          </a:p>
        </c:txPr>
        <c:crossAx val="53870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320040</xdr:colOff>
      <xdr:row>11</xdr:row>
      <xdr:rowOff>139065</xdr:rowOff>
    </xdr:from>
    <xdr:to>
      <xdr:col>9</xdr:col>
      <xdr:colOff>321945</xdr:colOff>
      <xdr:row>14</xdr:row>
      <xdr:rowOff>93345</xdr:rowOff>
    </xdr:to>
    <xdr:sp macro="[0]!Instruco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853A899-7268-424F-AF40-9D62C87EA2C3}"/>
            </a:ext>
          </a:extLst>
        </xdr:cNvPr>
        <xdr:cNvSpPr/>
      </xdr:nvSpPr>
      <xdr:spPr>
        <a:xfrm>
          <a:off x="4819650" y="2190750"/>
          <a:ext cx="1844040" cy="674370"/>
        </a:xfrm>
        <a:prstGeom prst="roundRect">
          <a:avLst/>
        </a:prstGeom>
        <a:solidFill>
          <a:srgbClr val="F9943B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n>
                <a:solidFill>
                  <a:schemeClr val="accent2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omic Sans MS" panose="030F0702030302020204" pitchFamily="66" charset="0"/>
            </a:rPr>
            <a:t>Instruções de Uso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12</xdr:row>
      <xdr:rowOff>15826</xdr:rowOff>
    </xdr:from>
    <xdr:to>
      <xdr:col>14</xdr:col>
      <xdr:colOff>1905</xdr:colOff>
      <xdr:row>14</xdr:row>
      <xdr:rowOff>206327</xdr:rowOff>
    </xdr:to>
    <xdr:sp macro="[0]!Cadastr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D3C0080-1D4D-39BA-DC2C-0793644D32DC}"/>
            </a:ext>
          </a:extLst>
        </xdr:cNvPr>
        <xdr:cNvSpPr/>
      </xdr:nvSpPr>
      <xdr:spPr>
        <a:xfrm>
          <a:off x="13563600" y="2318971"/>
          <a:ext cx="1830705" cy="676276"/>
        </a:xfrm>
        <a:prstGeom prst="roundRect">
          <a:avLst/>
        </a:prstGeom>
        <a:solidFill>
          <a:srgbClr val="F9943B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n>
                <a:solidFill>
                  <a:schemeClr val="accent2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omic Sans MS" panose="030F0702030302020204" pitchFamily="66" charset="0"/>
            </a:rPr>
            <a:t>Cadastrar Desperdício</a:t>
          </a:r>
        </a:p>
      </xdr:txBody>
    </xdr:sp>
    <xdr:clientData/>
  </xdr:twoCellAnchor>
  <xdr:twoCellAnchor editAs="absolute">
    <xdr:from>
      <xdr:col>11</xdr:col>
      <xdr:colOff>0</xdr:colOff>
      <xdr:row>16</xdr:row>
      <xdr:rowOff>170131</xdr:rowOff>
    </xdr:from>
    <xdr:to>
      <xdr:col>14</xdr:col>
      <xdr:colOff>1905</xdr:colOff>
      <xdr:row>19</xdr:row>
      <xdr:rowOff>168080</xdr:rowOff>
    </xdr:to>
    <xdr:sp macro="[0]!Limpa_Desperdicio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1D79220-10F3-4485-BF81-D767C1CDEA3D}"/>
            </a:ext>
          </a:extLst>
        </xdr:cNvPr>
        <xdr:cNvSpPr/>
      </xdr:nvSpPr>
      <xdr:spPr>
        <a:xfrm>
          <a:off x="13563600" y="3435301"/>
          <a:ext cx="1830705" cy="685654"/>
        </a:xfrm>
        <a:prstGeom prst="roundRect">
          <a:avLst/>
        </a:prstGeom>
        <a:solidFill>
          <a:srgbClr val="F9943B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n>
                <a:solidFill>
                  <a:schemeClr val="accent2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omic Sans MS" panose="030F0702030302020204" pitchFamily="66" charset="0"/>
            </a:rPr>
            <a:t>Limpar</a:t>
          </a:r>
          <a:r>
            <a:rPr lang="pt-BR" sz="1400" b="1" baseline="0">
              <a:ln>
                <a:solidFill>
                  <a:schemeClr val="accent2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omic Sans MS" panose="030F0702030302020204" pitchFamily="66" charset="0"/>
            </a:rPr>
            <a:t> Tabela</a:t>
          </a:r>
          <a:endParaRPr lang="pt-BR" sz="1400" b="1">
            <a:ln>
              <a:solidFill>
                <a:schemeClr val="accent2"/>
              </a:solidFill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762000</xdr:colOff>
      <xdr:row>25</xdr:row>
      <xdr:rowOff>15240</xdr:rowOff>
    </xdr:from>
    <xdr:to>
      <xdr:col>11</xdr:col>
      <xdr:colOff>167640</xdr:colOff>
      <xdr:row>27</xdr:row>
      <xdr:rowOff>161925</xdr:rowOff>
    </xdr:to>
    <xdr:sp macro="[0]!Limpa_Resultad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84CE9B7-963A-471A-B1CC-8CFECDEEAA16}"/>
            </a:ext>
          </a:extLst>
        </xdr:cNvPr>
        <xdr:cNvSpPr/>
      </xdr:nvSpPr>
      <xdr:spPr>
        <a:xfrm>
          <a:off x="11744325" y="5553075"/>
          <a:ext cx="1855470" cy="638175"/>
        </a:xfrm>
        <a:prstGeom prst="roundRect">
          <a:avLst/>
        </a:prstGeom>
        <a:solidFill>
          <a:srgbClr val="F9943B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n>
                <a:solidFill>
                  <a:schemeClr val="accent2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omic Sans MS" panose="030F0702030302020204" pitchFamily="66" charset="0"/>
            </a:rPr>
            <a:t>Limpar</a:t>
          </a:r>
          <a:r>
            <a:rPr lang="pt-BR" sz="1400" b="1" baseline="0">
              <a:ln>
                <a:solidFill>
                  <a:schemeClr val="accent2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omic Sans MS" panose="030F0702030302020204" pitchFamily="66" charset="0"/>
            </a:rPr>
            <a:t> Tabela</a:t>
          </a:r>
          <a:endParaRPr lang="pt-BR" sz="1400" b="1">
            <a:ln>
              <a:solidFill>
                <a:schemeClr val="accent2"/>
              </a:solidFill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118109</xdr:colOff>
      <xdr:row>8</xdr:row>
      <xdr:rowOff>133350</xdr:rowOff>
    </xdr:from>
    <xdr:to>
      <xdr:col>17</xdr:col>
      <xdr:colOff>74295</xdr:colOff>
      <xdr:row>23</xdr:row>
      <xdr:rowOff>173355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1E13768-27FF-4671-B777-01BF67F6E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20954</xdr:colOff>
      <xdr:row>8</xdr:row>
      <xdr:rowOff>133350</xdr:rowOff>
    </xdr:from>
    <xdr:to>
      <xdr:col>28</xdr:col>
      <xdr:colOff>361950</xdr:colOff>
      <xdr:row>23</xdr:row>
      <xdr:rowOff>173355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560BDDE-AEEB-4EB3-9889-F30F7DE53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9288CD-CCCE-4EDA-8DF6-28A07F676C87}" name="Tabela_Desperdício" displayName="Tabela_Desperdício" ref="D12:I13" insertRow="1" headerRowDxfId="32" dataDxfId="31">
  <autoFilter ref="D12:I13" xr:uid="{929288CD-CCCE-4EDA-8DF6-28A07F676C87}"/>
  <tableColumns count="6">
    <tableColumn id="1" xr3:uid="{9143004B-3E9A-46DA-8423-81EBE5A1E22E}" name="Dia" totalsRowLabel="Total" dataDxfId="30" totalsRowDxfId="29"/>
    <tableColumn id="2" xr3:uid="{94554F7C-EE9A-449B-8A58-29B360462F8A}" name="Mês" dataDxfId="28" totalsRowDxfId="27"/>
    <tableColumn id="3" xr3:uid="{E6E8FC4A-6C63-4F26-8D0C-E66F30DE61A1}" name="Ano" dataDxfId="26" totalsRowDxfId="25"/>
    <tableColumn id="4" xr3:uid="{97CCF6FD-7003-4084-A4EA-2314093D5FE1}" name="Peso (em Kg)" dataDxfId="24" totalsRowDxfId="23"/>
    <tableColumn id="5" xr3:uid="{2AB905CE-801F-4009-B727-7EB0302424A5}" name="Responsável pelo registro" dataDxfId="22" totalsRowDxfId="21"/>
    <tableColumn id="6" xr3:uid="{96BD94E0-9181-462B-8642-D6B9DAAE3D41}" name="Menu" totalsRowFunction="count" dataDxfId="20" totalsRowDxfId="19"/>
  </tableColumns>
  <tableStyleInfo name="TableStyleLight10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2698E1-F6FF-465E-BF58-625D24949EEA}" name="Tabela_Resultados" displayName="Tabela_Resultados" ref="D12:H15" headerRowDxfId="18" dataDxfId="17">
  <autoFilter ref="D12:H15" xr:uid="{929288CD-CCCE-4EDA-8DF6-28A07F676C87}"/>
  <tableColumns count="5">
    <tableColumn id="1" xr3:uid="{B2F647F5-5B9D-47B1-AECA-CB8616FF777B}" name="Dia" totalsRowLabel="Total" dataDxfId="16" totalsRowDxfId="15"/>
    <tableColumn id="2" xr3:uid="{4CE63B74-CFB8-4FD7-ACC3-2A69F5370C95}" name="Mês" dataDxfId="14" totalsRowDxfId="13"/>
    <tableColumn id="3" xr3:uid="{94498FD6-C053-4B07-B7E6-0241D91DA082}" name="Ano" dataDxfId="12" totalsRowDxfId="11"/>
    <tableColumn id="4" xr3:uid="{FC323087-CCFC-486C-9E71-60BE5DCC3A5F}" name="Peso (em Kg)" dataDxfId="10" totalsRowDxfId="9"/>
    <tableColumn id="5" xr3:uid="{91A79603-126C-49B6-90DF-37A6E7353BB9}" name="Valor, em reais, desperdiçado (média)" dataDxfId="8" totalsRowDxfId="7"/>
  </tableColumns>
  <tableStyleInfo name="TableStyleLight10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676AB6-3198-4AFC-8923-AB996DCF0D74}" name="Tabela_Resultado_Resumo" displayName="Tabela_Resultado_Resumo" ref="J12:N24" totalsRowShown="0" headerRowDxfId="6" dataDxfId="5">
  <autoFilter ref="J12:N24" xr:uid="{13676AB6-3198-4AFC-8923-AB996DCF0D74}"/>
  <tableColumns count="5">
    <tableColumn id="1" xr3:uid="{DB5B4BC7-37F6-42C7-A7FD-F295DAEC14B7}" name="Mês" dataDxfId="4"/>
    <tableColumn id="2" xr3:uid="{7ED2B3EC-3813-4715-8AEA-518DC2B418C9}" name="Peso (em Kg)" dataDxfId="3">
      <calculatedColumnFormula>SUMIF(Tabela_Resultados[Mês],Tabela_Resultado_Resumo[[#This Row],[Mês]],Tabela_Resultados[Peso (em Kg)])</calculatedColumnFormula>
    </tableColumn>
    <tableColumn id="3" xr3:uid="{DC5F068E-6B1E-4EA7-AEEF-7C4E5B2C0F69}" name="Valor" dataDxfId="2">
      <calculatedColumnFormula>SUMIF(Tabela_Resultados[Mês],Tabela_Resultado_Resumo[[#This Row],[Mês]],Tabela_Resultados[Valor, em reais, desperdiçado (média)])</calculatedColumnFormula>
    </tableColumn>
    <tableColumn id="4" xr3:uid="{DB1B7AB1-7B8C-4405-8A19-ED8ADCA0E0FB}" name="Refeições desperdiçadas" dataDxfId="1">
      <calculatedColumnFormula>IF(Tabela_Resultado_Resumo[[#This Row],[Valor]]=0,"",Tabela_Resultado_Resumo[[#This Row],[Valor]]/$P$13)</calculatedColumnFormula>
    </tableColumn>
    <tableColumn id="5" xr3:uid="{CCD6EA17-F43E-4E50-93AA-B418BC5A1FA1}" name="Qnts alunos seriam alimentados?" dataDxfId="0">
      <calculatedColumnFormula>IF(Tabela_Resultado_Resumo[[#This Row],[Refeições desperdiçadas]]="","",Tabela_Resultado_Resumo[[#This Row],[Refeições desperdiçadas]]/4)</calculatedColumnFormula>
    </tableColumn>
  </tableColumns>
  <tableStyleInfo name="TableStyleLight10" showFirstColumn="0" showLastColumn="1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73FA2-AA8E-4236-9B96-A187F0439909}">
  <sheetPr codeName="Planilha1"/>
  <dimension ref="D1:Z24"/>
  <sheetViews>
    <sheetView showGridLines="0" tabSelected="1" topLeftCell="A7" zoomScale="90" zoomScaleNormal="90" workbookViewId="0">
      <selection activeCell="I26" sqref="I26"/>
    </sheetView>
  </sheetViews>
  <sheetFormatPr defaultColWidth="8.85546875" defaultRowHeight="15" x14ac:dyDescent="0.25"/>
  <cols>
    <col min="1" max="3" width="8.85546875" style="2"/>
    <col min="4" max="4" width="5.42578125" style="2" customWidth="1"/>
    <col min="5" max="5" width="24.7109375" style="2" bestFit="1" customWidth="1"/>
    <col min="6" max="15" width="8.85546875" style="2"/>
    <col min="16" max="16" width="15.7109375" style="2" bestFit="1" customWidth="1"/>
    <col min="17" max="16384" width="8.85546875" style="2"/>
  </cols>
  <sheetData>
    <row r="1" spans="4:26" s="14" customFormat="1" x14ac:dyDescent="0.25"/>
    <row r="2" spans="4:26" s="14" customFormat="1" x14ac:dyDescent="0.25"/>
    <row r="3" spans="4:26" s="14" customFormat="1" ht="15.75" thickBot="1" x14ac:dyDescent="0.3"/>
    <row r="4" spans="4:26" s="14" customFormat="1" ht="15.75" thickTop="1" x14ac:dyDescent="0.25">
      <c r="D4" s="59" t="s">
        <v>28</v>
      </c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1"/>
    </row>
    <row r="5" spans="4:26" s="14" customFormat="1" x14ac:dyDescent="0.25">
      <c r="D5" s="62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4"/>
    </row>
    <row r="6" spans="4:26" s="14" customFormat="1" ht="15.75" thickBot="1" x14ac:dyDescent="0.3">
      <c r="D6" s="65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7"/>
    </row>
    <row r="7" spans="4:26" s="14" customFormat="1" ht="15.75" thickTop="1" x14ac:dyDescent="0.25"/>
    <row r="8" spans="4:26" s="14" customFormat="1" x14ac:dyDescent="0.25"/>
    <row r="9" spans="4:26" s="14" customFormat="1" x14ac:dyDescent="0.25"/>
    <row r="10" spans="4:26" s="20" customFormat="1" ht="15.75" thickBot="1" x14ac:dyDescent="0.3"/>
    <row r="11" spans="4:26" ht="15.75" thickTop="1" x14ac:dyDescent="0.25"/>
    <row r="12" spans="4:26" ht="15.75" thickBot="1" x14ac:dyDescent="0.3"/>
    <row r="13" spans="4:26" ht="23.25" thickTop="1" x14ac:dyDescent="0.45">
      <c r="D13" s="68" t="s">
        <v>33</v>
      </c>
      <c r="E13" s="69"/>
    </row>
    <row r="14" spans="4:26" ht="19.5" x14ac:dyDescent="0.4">
      <c r="D14" s="21" t="s">
        <v>29</v>
      </c>
      <c r="E14" s="22" t="s">
        <v>34</v>
      </c>
    </row>
    <row r="15" spans="4:26" ht="19.5" x14ac:dyDescent="0.4">
      <c r="D15" s="21" t="s">
        <v>30</v>
      </c>
      <c r="E15" s="22" t="s">
        <v>35</v>
      </c>
      <c r="P15" s="15"/>
    </row>
    <row r="16" spans="4:26" ht="19.5" x14ac:dyDescent="0.4">
      <c r="D16" s="21" t="s">
        <v>31</v>
      </c>
      <c r="E16" s="22" t="s">
        <v>36</v>
      </c>
      <c r="P16" s="16"/>
    </row>
    <row r="17" spans="4:6" ht="20.25" thickBot="1" x14ac:dyDescent="0.45">
      <c r="D17" s="23" t="s">
        <v>32</v>
      </c>
      <c r="E17" s="24" t="s">
        <v>37</v>
      </c>
    </row>
    <row r="18" spans="4:6" ht="16.5" thickTop="1" thickBot="1" x14ac:dyDescent="0.3"/>
    <row r="19" spans="4:6" ht="14.45" customHeight="1" thickTop="1" x14ac:dyDescent="0.25">
      <c r="D19" s="51" t="s">
        <v>38</v>
      </c>
      <c r="E19" s="52"/>
      <c r="F19" s="18"/>
    </row>
    <row r="20" spans="4:6" ht="14.45" customHeight="1" x14ac:dyDescent="0.25">
      <c r="D20" s="53"/>
      <c r="E20" s="54"/>
      <c r="F20" s="18"/>
    </row>
    <row r="21" spans="4:6" ht="14.45" customHeight="1" x14ac:dyDescent="0.25">
      <c r="D21" s="55" t="s">
        <v>61</v>
      </c>
      <c r="E21" s="56"/>
      <c r="F21" s="18"/>
    </row>
    <row r="22" spans="4:6" ht="14.45" customHeight="1" x14ac:dyDescent="0.25">
      <c r="D22" s="55"/>
      <c r="E22" s="56"/>
      <c r="F22" s="18"/>
    </row>
    <row r="23" spans="4:6" ht="18.75" thickBot="1" x14ac:dyDescent="0.4">
      <c r="D23" s="57" t="s">
        <v>62</v>
      </c>
      <c r="E23" s="58"/>
      <c r="F23" s="19"/>
    </row>
    <row r="24" spans="4:6" ht="15.75" thickTop="1" x14ac:dyDescent="0.25"/>
  </sheetData>
  <mergeCells count="5">
    <mergeCell ref="D19:E20"/>
    <mergeCell ref="D21:E22"/>
    <mergeCell ref="D23:E23"/>
    <mergeCell ref="D4:Z6"/>
    <mergeCell ref="D13:E13"/>
  </mergeCells>
  <hyperlinks>
    <hyperlink ref="E14" location="Cadastro_Desperdício!A1" display="Cadastrar Desperdício" xr:uid="{8E3A343F-F4CF-40BE-AE06-E55730AAD00D}"/>
    <hyperlink ref="E15" location="Base_Preços!A1" display="Preços dos Alimentos" xr:uid="{C8AF0B74-A3F6-4208-8F51-3AC6CC3B3FE9}"/>
    <hyperlink ref="E16" location="Resultados!A1" display="Resultados" xr:uid="{CC28D413-7817-4C14-9E63-4164ED865475}"/>
    <hyperlink ref="E17" location="Dashboard!A1" display="Dashboard" xr:uid="{EE74DD55-607E-4C43-AE65-E4193D45D079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74164-8C04-4900-AFCC-5E8B340E9BB9}">
  <sheetPr codeName="Planilha2"/>
  <dimension ref="B1:M29"/>
  <sheetViews>
    <sheetView showGridLines="0" topLeftCell="G7" zoomScaleNormal="100" workbookViewId="0">
      <selection activeCell="I14" sqref="I14"/>
    </sheetView>
  </sheetViews>
  <sheetFormatPr defaultColWidth="8.85546875" defaultRowHeight="18.75" x14ac:dyDescent="0.3"/>
  <cols>
    <col min="1" max="1" width="8.85546875" style="2"/>
    <col min="2" max="3" width="8.85546875" style="3" customWidth="1"/>
    <col min="4" max="4" width="13.28515625" style="3" customWidth="1"/>
    <col min="5" max="5" width="18.42578125" style="3" customWidth="1"/>
    <col min="6" max="6" width="10.42578125" style="3" bestFit="1" customWidth="1"/>
    <col min="7" max="7" width="22.28515625" style="3" bestFit="1" customWidth="1"/>
    <col min="8" max="8" width="38.5703125" style="2" bestFit="1" customWidth="1"/>
    <col min="9" max="9" width="50.28515625" style="2" bestFit="1" customWidth="1"/>
    <col min="10" max="16384" width="8.85546875" style="2"/>
  </cols>
  <sheetData>
    <row r="1" spans="2:13" s="14" customFormat="1" ht="15" customHeight="1" thickBot="1" x14ac:dyDescent="0.35">
      <c r="B1" s="30"/>
      <c r="C1" s="30"/>
      <c r="D1" s="30"/>
      <c r="E1" s="30"/>
      <c r="F1" s="30"/>
      <c r="G1" s="30"/>
    </row>
    <row r="2" spans="2:13" s="14" customFormat="1" ht="14.45" customHeight="1" thickTop="1" x14ac:dyDescent="0.25">
      <c r="B2" s="32" t="s">
        <v>6</v>
      </c>
      <c r="C2" s="27"/>
      <c r="D2" s="27"/>
      <c r="E2" s="27"/>
      <c r="F2" s="27"/>
      <c r="G2" s="33"/>
    </row>
    <row r="3" spans="2:13" s="14" customFormat="1" ht="14.45" customHeight="1" thickBot="1" x14ac:dyDescent="0.3">
      <c r="B3" s="34"/>
      <c r="C3" s="31"/>
      <c r="D3" s="28"/>
      <c r="E3" s="28"/>
      <c r="F3" s="28"/>
      <c r="G3" s="35"/>
    </row>
    <row r="4" spans="2:13" s="14" customFormat="1" ht="15.75" thickTop="1" x14ac:dyDescent="0.25">
      <c r="D4" s="70" t="s">
        <v>40</v>
      </c>
      <c r="E4" s="71"/>
      <c r="F4" s="71"/>
      <c r="G4" s="71"/>
      <c r="H4" s="71"/>
      <c r="I4" s="71"/>
      <c r="J4" s="71"/>
      <c r="K4" s="71"/>
      <c r="L4" s="71"/>
      <c r="M4" s="72"/>
    </row>
    <row r="5" spans="2:13" s="14" customFormat="1" ht="15" x14ac:dyDescent="0.25">
      <c r="D5" s="73"/>
      <c r="E5" s="74"/>
      <c r="F5" s="74"/>
      <c r="G5" s="74"/>
      <c r="H5" s="74"/>
      <c r="I5" s="74"/>
      <c r="J5" s="74"/>
      <c r="K5" s="74"/>
      <c r="L5" s="74"/>
      <c r="M5" s="75"/>
    </row>
    <row r="6" spans="2:13" s="14" customFormat="1" ht="15.75" thickBot="1" x14ac:dyDescent="0.3">
      <c r="D6" s="76"/>
      <c r="E6" s="77"/>
      <c r="F6" s="77"/>
      <c r="G6" s="77"/>
      <c r="H6" s="77"/>
      <c r="I6" s="77"/>
      <c r="J6" s="77"/>
      <c r="K6" s="77"/>
      <c r="L6" s="77"/>
      <c r="M6" s="78"/>
    </row>
    <row r="7" spans="2:13" s="14" customFormat="1" ht="15.75" thickTop="1" x14ac:dyDescent="0.25"/>
    <row r="8" spans="2:13" s="14" customFormat="1" ht="15" x14ac:dyDescent="0.25"/>
    <row r="9" spans="2:13" s="14" customFormat="1" ht="15" x14ac:dyDescent="0.25"/>
    <row r="10" spans="2:13" s="20" customFormat="1" ht="15.75" thickBot="1" x14ac:dyDescent="0.3"/>
    <row r="11" spans="2:13" ht="15.75" thickTop="1" x14ac:dyDescent="0.25">
      <c r="B11" s="2"/>
      <c r="C11" s="2"/>
      <c r="D11" s="2"/>
      <c r="E11" s="2"/>
      <c r="F11" s="2"/>
      <c r="G11" s="2"/>
    </row>
    <row r="12" spans="2:13" ht="21" x14ac:dyDescent="0.4">
      <c r="B12" s="2"/>
      <c r="C12" s="2"/>
      <c r="D12" s="1" t="s">
        <v>0</v>
      </c>
      <c r="E12" s="1" t="s">
        <v>1</v>
      </c>
      <c r="F12" s="1" t="s">
        <v>2</v>
      </c>
      <c r="G12" s="1" t="s">
        <v>3</v>
      </c>
      <c r="H12" s="1" t="s">
        <v>4</v>
      </c>
      <c r="I12" s="1" t="s">
        <v>5</v>
      </c>
    </row>
    <row r="13" spans="2:13" ht="19.5" x14ac:dyDescent="0.4">
      <c r="B13" s="2"/>
      <c r="C13" s="2"/>
      <c r="D13" s="5"/>
      <c r="E13" s="5"/>
      <c r="F13" s="5"/>
      <c r="G13" s="5"/>
      <c r="H13" s="5"/>
      <c r="I13" s="5"/>
    </row>
    <row r="14" spans="2:13" ht="19.5" x14ac:dyDescent="0.4">
      <c r="B14" s="2"/>
      <c r="C14" s="2"/>
      <c r="D14" s="48"/>
      <c r="E14" s="48"/>
      <c r="F14" s="48"/>
      <c r="G14" s="48"/>
      <c r="H14" s="48"/>
      <c r="I14" s="48"/>
    </row>
    <row r="15" spans="2:13" ht="19.5" x14ac:dyDescent="0.4">
      <c r="B15" s="2"/>
      <c r="C15" s="2"/>
      <c r="D15" s="48"/>
      <c r="E15" s="48"/>
      <c r="F15" s="48"/>
      <c r="G15" s="48"/>
      <c r="H15" s="48"/>
      <c r="I15" s="48"/>
    </row>
    <row r="16" spans="2:13" ht="19.5" x14ac:dyDescent="0.4">
      <c r="B16" s="2"/>
      <c r="C16" s="2"/>
      <c r="D16" s="48"/>
      <c r="E16" s="48"/>
      <c r="F16" s="48"/>
      <c r="G16" s="48"/>
      <c r="H16" s="48"/>
      <c r="I16" s="48"/>
    </row>
    <row r="17" spans="2:9" ht="19.5" x14ac:dyDescent="0.4">
      <c r="B17" s="2"/>
      <c r="C17" s="2"/>
      <c r="D17" s="48"/>
      <c r="E17" s="48"/>
      <c r="F17" s="48"/>
      <c r="G17" s="48"/>
      <c r="H17" s="48"/>
      <c r="I17" s="48"/>
    </row>
    <row r="18" spans="2:9" ht="19.5" x14ac:dyDescent="0.4">
      <c r="B18" s="2"/>
      <c r="C18" s="2"/>
      <c r="D18" s="48"/>
      <c r="E18" s="48"/>
      <c r="F18" s="48"/>
      <c r="G18" s="48"/>
      <c r="H18" s="48"/>
      <c r="I18" s="48"/>
    </row>
    <row r="19" spans="2:9" ht="19.5" x14ac:dyDescent="0.4">
      <c r="B19" s="2"/>
      <c r="C19" s="2"/>
      <c r="D19" s="48"/>
      <c r="E19" s="48"/>
      <c r="F19" s="48"/>
      <c r="G19" s="48"/>
      <c r="H19" s="48"/>
      <c r="I19" s="48"/>
    </row>
    <row r="20" spans="2:9" ht="19.5" x14ac:dyDescent="0.4">
      <c r="B20" s="2"/>
      <c r="C20" s="2"/>
      <c r="D20" s="48"/>
      <c r="E20" s="48"/>
      <c r="F20" s="48"/>
      <c r="G20" s="48"/>
      <c r="H20" s="48"/>
      <c r="I20" s="48"/>
    </row>
    <row r="21" spans="2:9" ht="19.5" x14ac:dyDescent="0.4">
      <c r="B21" s="2"/>
      <c r="C21" s="2"/>
      <c r="D21" s="48"/>
      <c r="E21" s="48"/>
      <c r="F21" s="48"/>
      <c r="G21" s="48"/>
      <c r="H21" s="48"/>
      <c r="I21" s="48"/>
    </row>
    <row r="22" spans="2:9" ht="19.5" x14ac:dyDescent="0.4">
      <c r="B22" s="2"/>
      <c r="C22" s="2"/>
      <c r="D22" s="48"/>
      <c r="E22" s="48"/>
      <c r="F22" s="48"/>
      <c r="G22" s="48"/>
      <c r="H22" s="48"/>
      <c r="I22" s="48"/>
    </row>
    <row r="23" spans="2:9" ht="19.5" x14ac:dyDescent="0.4">
      <c r="B23" s="2"/>
      <c r="C23" s="2"/>
      <c r="D23" s="48"/>
      <c r="E23" s="48"/>
      <c r="F23" s="48"/>
      <c r="G23" s="48"/>
      <c r="H23" s="48"/>
      <c r="I23" s="48"/>
    </row>
    <row r="24" spans="2:9" ht="19.5" x14ac:dyDescent="0.4">
      <c r="B24" s="2"/>
      <c r="C24" s="2"/>
      <c r="D24" s="48"/>
      <c r="E24" s="48"/>
      <c r="F24" s="48"/>
      <c r="G24" s="48"/>
      <c r="H24" s="48"/>
      <c r="I24" s="48"/>
    </row>
    <row r="25" spans="2:9" ht="19.5" x14ac:dyDescent="0.4">
      <c r="B25" s="2"/>
      <c r="C25" s="2"/>
      <c r="D25" s="48"/>
      <c r="E25" s="48"/>
      <c r="F25" s="48"/>
      <c r="G25" s="48"/>
      <c r="H25" s="48"/>
      <c r="I25" s="48"/>
    </row>
    <row r="26" spans="2:9" ht="19.5" x14ac:dyDescent="0.4">
      <c r="B26" s="2"/>
      <c r="C26" s="2"/>
      <c r="D26" s="48"/>
      <c r="E26" s="48"/>
      <c r="F26" s="48"/>
      <c r="G26" s="48"/>
      <c r="H26" s="48"/>
      <c r="I26" s="48"/>
    </row>
    <row r="27" spans="2:9" ht="19.5" x14ac:dyDescent="0.4">
      <c r="B27" s="2"/>
      <c r="C27" s="2"/>
      <c r="D27" s="48"/>
      <c r="E27" s="48"/>
      <c r="F27" s="48"/>
      <c r="G27" s="48"/>
      <c r="H27" s="48"/>
      <c r="I27" s="48"/>
    </row>
    <row r="28" spans="2:9" ht="19.5" x14ac:dyDescent="0.4">
      <c r="B28" s="2"/>
      <c r="C28" s="2"/>
      <c r="D28" s="48"/>
      <c r="E28" s="48"/>
      <c r="F28" s="48"/>
      <c r="G28" s="48"/>
      <c r="H28" s="48"/>
      <c r="I28" s="48"/>
    </row>
    <row r="29" spans="2:9" ht="19.5" x14ac:dyDescent="0.4">
      <c r="B29" s="2"/>
      <c r="C29" s="2"/>
      <c r="D29" s="48"/>
      <c r="E29" s="48"/>
      <c r="F29" s="48"/>
      <c r="G29" s="48"/>
      <c r="H29" s="48"/>
      <c r="I29" s="48"/>
    </row>
  </sheetData>
  <mergeCells count="1">
    <mergeCell ref="D4:M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AE0AF-7909-48AD-A661-794170712BB3}">
  <sheetPr codeName="Planilha3"/>
  <dimension ref="B1:O22"/>
  <sheetViews>
    <sheetView showGridLines="0" topLeftCell="A10" workbookViewId="0">
      <selection activeCell="G22" sqref="G22"/>
    </sheetView>
  </sheetViews>
  <sheetFormatPr defaultColWidth="8.85546875" defaultRowHeight="18.75" x14ac:dyDescent="0.3"/>
  <cols>
    <col min="1" max="1" width="8.85546875" style="2"/>
    <col min="2" max="2" width="6.7109375" style="3" customWidth="1"/>
    <col min="3" max="3" width="7.7109375" style="3" customWidth="1"/>
    <col min="4" max="4" width="22.28515625" style="3" bestFit="1" customWidth="1"/>
    <col min="5" max="5" width="4.140625" style="3" customWidth="1"/>
    <col min="6" max="6" width="19" style="3" bestFit="1" customWidth="1"/>
    <col min="7" max="7" width="10" style="3" bestFit="1" customWidth="1"/>
    <col min="8" max="8" width="11.7109375" style="2" bestFit="1" customWidth="1"/>
    <col min="9" max="9" width="19" style="2" bestFit="1" customWidth="1"/>
    <col min="10" max="16384" width="8.85546875" style="2"/>
  </cols>
  <sheetData>
    <row r="1" spans="2:15" s="14" customFormat="1" x14ac:dyDescent="0.3">
      <c r="B1" s="30"/>
      <c r="C1" s="30"/>
      <c r="D1" s="30"/>
      <c r="E1" s="30"/>
      <c r="F1" s="30"/>
      <c r="G1" s="30"/>
    </row>
    <row r="2" spans="2:15" s="14" customFormat="1" x14ac:dyDescent="0.3">
      <c r="B2" s="30"/>
      <c r="C2" s="30"/>
      <c r="D2" s="30"/>
      <c r="E2" s="30"/>
      <c r="F2" s="30"/>
      <c r="G2" s="30"/>
    </row>
    <row r="3" spans="2:15" s="14" customFormat="1" ht="19.5" thickBot="1" x14ac:dyDescent="0.35">
      <c r="B3" s="30"/>
      <c r="C3" s="30"/>
      <c r="D3" s="30"/>
      <c r="E3" s="30"/>
      <c r="F3" s="30"/>
      <c r="G3" s="30"/>
    </row>
    <row r="4" spans="2:15" s="14" customFormat="1" ht="18" customHeight="1" thickTop="1" x14ac:dyDescent="0.3">
      <c r="B4" s="30"/>
      <c r="C4" s="30"/>
      <c r="D4" s="70" t="s">
        <v>41</v>
      </c>
      <c r="E4" s="71"/>
      <c r="F4" s="71"/>
      <c r="G4" s="71"/>
      <c r="H4" s="71"/>
      <c r="I4" s="71"/>
      <c r="J4" s="71"/>
      <c r="K4" s="71"/>
      <c r="L4" s="71"/>
      <c r="M4" s="71"/>
      <c r="N4" s="71"/>
      <c r="O4" s="72"/>
    </row>
    <row r="5" spans="2:15" s="14" customFormat="1" ht="18" customHeight="1" x14ac:dyDescent="0.3">
      <c r="B5" s="30"/>
      <c r="C5" s="30"/>
      <c r="D5" s="73"/>
      <c r="E5" s="74"/>
      <c r="F5" s="74"/>
      <c r="G5" s="74"/>
      <c r="H5" s="74"/>
      <c r="I5" s="74"/>
      <c r="J5" s="74"/>
      <c r="K5" s="74"/>
      <c r="L5" s="74"/>
      <c r="M5" s="74"/>
      <c r="N5" s="74"/>
      <c r="O5" s="75"/>
    </row>
    <row r="6" spans="2:15" s="14" customFormat="1" ht="14.45" customHeight="1" thickBot="1" x14ac:dyDescent="0.3">
      <c r="D6" s="76"/>
      <c r="E6" s="77"/>
      <c r="F6" s="77"/>
      <c r="G6" s="77"/>
      <c r="H6" s="77"/>
      <c r="I6" s="77"/>
      <c r="J6" s="77"/>
      <c r="K6" s="77"/>
      <c r="L6" s="77"/>
      <c r="M6" s="77"/>
      <c r="N6" s="77"/>
      <c r="O6" s="78"/>
    </row>
    <row r="7" spans="2:15" s="14" customFormat="1" ht="15.75" thickTop="1" x14ac:dyDescent="0.25"/>
    <row r="8" spans="2:15" s="14" customFormat="1" ht="15" x14ac:dyDescent="0.25"/>
    <row r="9" spans="2:15" s="14" customFormat="1" ht="15" x14ac:dyDescent="0.25"/>
    <row r="10" spans="2:15" s="20" customFormat="1" ht="15.75" thickBot="1" x14ac:dyDescent="0.3"/>
    <row r="11" spans="2:15" ht="16.5" thickTop="1" x14ac:dyDescent="0.25">
      <c r="B11" s="2"/>
      <c r="C11" s="2"/>
      <c r="D11" s="2"/>
      <c r="E11" s="2"/>
      <c r="F11" s="2"/>
      <c r="G11" s="8"/>
    </row>
    <row r="12" spans="2:15" ht="21" x14ac:dyDescent="0.4">
      <c r="B12" s="2"/>
      <c r="C12" s="2"/>
      <c r="D12" s="1" t="s">
        <v>7</v>
      </c>
      <c r="E12" s="6"/>
      <c r="F12" s="6" t="s">
        <v>17</v>
      </c>
      <c r="G12" s="11"/>
      <c r="H12" s="81" t="s">
        <v>51</v>
      </c>
      <c r="I12" s="81"/>
    </row>
    <row r="13" spans="2:15" ht="19.5" x14ac:dyDescent="0.4">
      <c r="B13" s="2"/>
      <c r="C13" s="2"/>
      <c r="D13" s="5" t="s">
        <v>9</v>
      </c>
      <c r="E13" s="7"/>
      <c r="F13" s="9">
        <v>7.9</v>
      </c>
      <c r="G13" s="11"/>
      <c r="H13" s="82">
        <v>28536.799999999999</v>
      </c>
      <c r="I13" s="82"/>
    </row>
    <row r="14" spans="2:15" ht="19.5" x14ac:dyDescent="0.4">
      <c r="B14" s="2"/>
      <c r="C14" s="2"/>
      <c r="D14" s="5" t="s">
        <v>12</v>
      </c>
      <c r="E14" s="7"/>
      <c r="F14" s="9">
        <v>17.600000000000001</v>
      </c>
      <c r="G14" s="11"/>
    </row>
    <row r="15" spans="2:15" ht="21" x14ac:dyDescent="0.4">
      <c r="B15" s="80"/>
      <c r="C15" s="80"/>
      <c r="D15" s="5" t="s">
        <v>11</v>
      </c>
      <c r="E15" s="7"/>
      <c r="F15" s="9">
        <v>38.299999999999997</v>
      </c>
      <c r="G15" s="11"/>
      <c r="H15" s="81" t="s">
        <v>52</v>
      </c>
      <c r="I15" s="81"/>
    </row>
    <row r="16" spans="2:15" ht="19.5" x14ac:dyDescent="0.4">
      <c r="B16" s="80"/>
      <c r="C16" s="80"/>
      <c r="D16" s="5" t="s">
        <v>10</v>
      </c>
      <c r="E16" s="7"/>
      <c r="F16" s="9">
        <v>9.75</v>
      </c>
      <c r="G16" s="11"/>
      <c r="H16" s="83">
        <v>407</v>
      </c>
      <c r="I16" s="83"/>
    </row>
    <row r="17" spans="2:9" ht="19.5" x14ac:dyDescent="0.4">
      <c r="B17" s="80"/>
      <c r="C17" s="80"/>
      <c r="D17" s="5" t="s">
        <v>14</v>
      </c>
      <c r="E17" s="7"/>
      <c r="F17" s="9">
        <v>7.4</v>
      </c>
      <c r="G17" s="8"/>
    </row>
    <row r="18" spans="2:9" ht="21" x14ac:dyDescent="0.4">
      <c r="B18" s="80"/>
      <c r="C18" s="80"/>
      <c r="D18" s="5" t="s">
        <v>15</v>
      </c>
      <c r="E18" s="7"/>
      <c r="F18" s="9">
        <v>2.61</v>
      </c>
      <c r="G18" s="8"/>
      <c r="H18" s="81" t="s">
        <v>53</v>
      </c>
      <c r="I18" s="81"/>
    </row>
    <row r="19" spans="2:9" ht="19.5" x14ac:dyDescent="0.4">
      <c r="B19" s="80"/>
      <c r="C19" s="80"/>
      <c r="D19" s="5" t="s">
        <v>13</v>
      </c>
      <c r="E19" s="7"/>
      <c r="F19" s="9">
        <v>0</v>
      </c>
      <c r="G19" s="8"/>
      <c r="H19" s="84">
        <f>H13/H16/22/4</f>
        <v>0.79676122403395133</v>
      </c>
      <c r="I19" s="84"/>
    </row>
    <row r="20" spans="2:9" ht="19.5" x14ac:dyDescent="0.4">
      <c r="B20" s="80"/>
      <c r="C20" s="80"/>
      <c r="D20" s="5" t="s">
        <v>8</v>
      </c>
      <c r="E20" s="7"/>
      <c r="F20" s="9">
        <v>7.3</v>
      </c>
      <c r="G20" s="8"/>
    </row>
    <row r="21" spans="2:9" ht="19.5" x14ac:dyDescent="0.4">
      <c r="B21" s="80"/>
      <c r="C21" s="80"/>
      <c r="D21" s="5" t="s">
        <v>16</v>
      </c>
      <c r="E21" s="7"/>
      <c r="F21" s="9">
        <v>0</v>
      </c>
      <c r="G21" s="8"/>
    </row>
    <row r="22" spans="2:9" x14ac:dyDescent="0.3">
      <c r="B22" s="79"/>
      <c r="C22" s="79"/>
    </row>
  </sheetData>
  <sortState xmlns:xlrd2="http://schemas.microsoft.com/office/spreadsheetml/2017/richdata2" ref="D13:E21">
    <sortCondition ref="D13:D21"/>
  </sortState>
  <mergeCells count="15">
    <mergeCell ref="D4:O6"/>
    <mergeCell ref="B22:C22"/>
    <mergeCell ref="B16:C16"/>
    <mergeCell ref="B17:C17"/>
    <mergeCell ref="B18:C18"/>
    <mergeCell ref="B19:C19"/>
    <mergeCell ref="B20:C20"/>
    <mergeCell ref="B21:C21"/>
    <mergeCell ref="B15:C15"/>
    <mergeCell ref="H12:I12"/>
    <mergeCell ref="H13:I13"/>
    <mergeCell ref="H15:I15"/>
    <mergeCell ref="H16:I16"/>
    <mergeCell ref="H18:I18"/>
    <mergeCell ref="H19:I1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E89B5-EBC4-4B93-8A7C-111E51714D70}">
  <sheetPr codeName="Planilha4"/>
  <dimension ref="D1:R28"/>
  <sheetViews>
    <sheetView showGridLines="0" topLeftCell="I7" workbookViewId="0">
      <selection activeCell="L16" sqref="L16"/>
    </sheetView>
  </sheetViews>
  <sheetFormatPr defaultColWidth="8.85546875" defaultRowHeight="18.75" x14ac:dyDescent="0.3"/>
  <cols>
    <col min="1" max="3" width="8.85546875" style="2"/>
    <col min="4" max="4" width="13.28515625" style="3" customWidth="1"/>
    <col min="5" max="5" width="22.28515625" style="3" bestFit="1" customWidth="1"/>
    <col min="6" max="6" width="10.42578125" style="3" bestFit="1" customWidth="1"/>
    <col min="7" max="7" width="22.28515625" style="2" bestFit="1" customWidth="1"/>
    <col min="8" max="8" width="56.140625" style="2" bestFit="1" customWidth="1"/>
    <col min="9" max="9" width="8.85546875" style="2"/>
    <col min="10" max="10" width="13.42578125" style="2" customWidth="1"/>
    <col min="11" max="11" width="22.28515625" style="2" bestFit="1" customWidth="1"/>
    <col min="12" max="12" width="13" style="2" bestFit="1" customWidth="1"/>
    <col min="13" max="13" width="37.85546875" style="2" bestFit="1" customWidth="1"/>
    <col min="14" max="14" width="48.7109375" style="2" bestFit="1" customWidth="1"/>
    <col min="15" max="15" width="8.85546875" style="2" customWidth="1"/>
    <col min="16" max="16" width="19" style="2" bestFit="1" customWidth="1"/>
    <col min="17" max="17" width="7.85546875" style="2" bestFit="1" customWidth="1"/>
    <col min="18" max="18" width="33.42578125" style="2" bestFit="1" customWidth="1"/>
    <col min="19" max="16384" width="8.85546875" style="2"/>
  </cols>
  <sheetData>
    <row r="1" spans="4:18" s="13" customFormat="1" x14ac:dyDescent="0.3">
      <c r="D1" s="26"/>
      <c r="E1" s="26"/>
      <c r="F1" s="26"/>
    </row>
    <row r="2" spans="4:18" s="13" customFormat="1" ht="18" customHeight="1" x14ac:dyDescent="0.25"/>
    <row r="3" spans="4:18" s="13" customFormat="1" ht="18" customHeight="1" thickBot="1" x14ac:dyDescent="0.3"/>
    <row r="4" spans="4:18" s="13" customFormat="1" ht="15" customHeight="1" thickTop="1" x14ac:dyDescent="0.25">
      <c r="D4" s="70" t="s">
        <v>39</v>
      </c>
      <c r="E4" s="71"/>
      <c r="F4" s="71"/>
      <c r="G4" s="71"/>
      <c r="H4" s="71"/>
      <c r="I4" s="71"/>
      <c r="J4" s="71"/>
      <c r="K4" s="71"/>
      <c r="L4" s="72"/>
    </row>
    <row r="5" spans="4:18" s="13" customFormat="1" ht="15" customHeight="1" x14ac:dyDescent="0.25">
      <c r="D5" s="73"/>
      <c r="E5" s="74"/>
      <c r="F5" s="74"/>
      <c r="G5" s="74"/>
      <c r="H5" s="74"/>
      <c r="I5" s="74"/>
      <c r="J5" s="74"/>
      <c r="K5" s="74"/>
      <c r="L5" s="75"/>
    </row>
    <row r="6" spans="4:18" s="13" customFormat="1" ht="14.45" customHeight="1" thickBot="1" x14ac:dyDescent="0.3">
      <c r="D6" s="76"/>
      <c r="E6" s="77"/>
      <c r="F6" s="77"/>
      <c r="G6" s="77"/>
      <c r="H6" s="77"/>
      <c r="I6" s="77"/>
      <c r="J6" s="77"/>
      <c r="K6" s="77"/>
      <c r="L6" s="78"/>
    </row>
    <row r="7" spans="4:18" s="13" customFormat="1" ht="15.75" thickTop="1" x14ac:dyDescent="0.25"/>
    <row r="8" spans="4:18" s="13" customFormat="1" ht="15" x14ac:dyDescent="0.25"/>
    <row r="9" spans="4:18" s="13" customFormat="1" ht="15" x14ac:dyDescent="0.25"/>
    <row r="10" spans="4:18" s="29" customFormat="1" ht="15.75" thickBot="1" x14ac:dyDescent="0.3"/>
    <row r="11" spans="4:18" ht="15.75" thickTop="1" x14ac:dyDescent="0.25">
      <c r="D11" s="2"/>
      <c r="E11" s="2"/>
      <c r="F11" s="2"/>
    </row>
    <row r="12" spans="4:18" ht="22.5" x14ac:dyDescent="0.45">
      <c r="D12" s="1" t="s">
        <v>0</v>
      </c>
      <c r="E12" s="1" t="s">
        <v>1</v>
      </c>
      <c r="F12" s="1" t="s">
        <v>2</v>
      </c>
      <c r="G12" s="1" t="s">
        <v>3</v>
      </c>
      <c r="H12" s="1" t="s">
        <v>19</v>
      </c>
      <c r="J12" s="1" t="s">
        <v>1</v>
      </c>
      <c r="K12" s="1" t="s">
        <v>3</v>
      </c>
      <c r="L12" s="1" t="s">
        <v>42</v>
      </c>
      <c r="M12" s="1" t="s">
        <v>54</v>
      </c>
      <c r="N12" s="1" t="s">
        <v>55</v>
      </c>
      <c r="P12" s="1" t="s">
        <v>50</v>
      </c>
      <c r="Q12" s="37"/>
      <c r="R12" s="37"/>
    </row>
    <row r="13" spans="4:18" ht="19.149999999999999" customHeight="1" x14ac:dyDescent="0.4">
      <c r="D13" s="49">
        <v>15</v>
      </c>
      <c r="E13" s="49" t="s">
        <v>20</v>
      </c>
      <c r="F13" s="49">
        <v>2024</v>
      </c>
      <c r="G13" s="49">
        <v>6</v>
      </c>
      <c r="H13" s="10">
        <v>49.9</v>
      </c>
      <c r="J13" s="17" t="s">
        <v>43</v>
      </c>
      <c r="K13" s="12">
        <f>SUMIF(Tabela_Resultados[Mês],Tabela_Resultado_Resumo[[#This Row],[Mês]],Tabela_Resultados[Peso (em Kg)])</f>
        <v>0</v>
      </c>
      <c r="L13" s="42">
        <f>SUMIF(Tabela_Resultados[Mês],Tabela_Resultado_Resumo[[#This Row],[Mês]],Tabela_Resultados[Valor, em reais, desperdiçado (média)])</f>
        <v>0</v>
      </c>
      <c r="M13" s="40" t="str">
        <f>IF(Tabela_Resultado_Resumo[[#This Row],[Valor]]=0,"",Tabela_Resultado_Resumo[[#This Row],[Valor]]/$P$13)</f>
        <v/>
      </c>
      <c r="N13" s="41" t="str">
        <f>IF(Tabela_Resultado_Resumo[[#This Row],[Refeições desperdiçadas]]="","",Tabela_Resultado_Resumo[[#This Row],[Refeições desperdiçadas]]/4)</f>
        <v/>
      </c>
      <c r="P13" s="10">
        <f>Base_Valores!H19</f>
        <v>0.79676122403395133</v>
      </c>
      <c r="Q13" s="39"/>
      <c r="R13" s="38"/>
    </row>
    <row r="14" spans="4:18" ht="19.5" x14ac:dyDescent="0.4">
      <c r="D14" s="103"/>
      <c r="E14" s="5"/>
      <c r="F14" s="5"/>
      <c r="G14" s="5"/>
      <c r="H14" s="10"/>
      <c r="J14" s="17" t="s">
        <v>44</v>
      </c>
      <c r="K14" s="12">
        <f>SUMIF(Tabela_Resultados[Mês],Tabela_Resultado_Resumo[[#This Row],[Mês]],Tabela_Resultados[Peso (em Kg)])</f>
        <v>0</v>
      </c>
      <c r="L14" s="42">
        <f>SUMIF(Tabela_Resultados[Mês],Tabela_Resultado_Resumo[[#This Row],[Mês]],Tabela_Resultados[Valor, em reais, desperdiçado (média)])</f>
        <v>0</v>
      </c>
      <c r="M14" s="40" t="str">
        <f>IF(Tabela_Resultado_Resumo[[#This Row],[Valor]]=0,"",Tabela_Resultado_Resumo[[#This Row],[Valor]]/$P$13)</f>
        <v/>
      </c>
      <c r="N14" s="41" t="str">
        <f>IF(Tabela_Resultado_Resumo[[#This Row],[Refeições desperdiçadas]]="","",Tabela_Resultado_Resumo[[#This Row],[Refeições desperdiçadas]]/4)</f>
        <v/>
      </c>
      <c r="P14" s="38"/>
      <c r="Q14" s="39"/>
      <c r="R14" s="38"/>
    </row>
    <row r="15" spans="4:18" ht="19.5" x14ac:dyDescent="0.4">
      <c r="D15" s="103"/>
      <c r="E15" s="5"/>
      <c r="F15" s="5"/>
      <c r="G15" s="5"/>
      <c r="H15" s="10"/>
      <c r="J15" s="17" t="s">
        <v>18</v>
      </c>
      <c r="K15" s="12">
        <f>SUMIF(Tabela_Resultados[Mês],Tabela_Resultado_Resumo[[#This Row],[Mês]],Tabela_Resultados[Peso (em Kg)])</f>
        <v>0</v>
      </c>
      <c r="L15" s="42">
        <f>SUMIF(Tabela_Resultados[Mês],Tabela_Resultado_Resumo[[#This Row],[Mês]],Tabela_Resultados[Valor, em reais, desperdiçado (média)])</f>
        <v>0</v>
      </c>
      <c r="M15" s="40" t="str">
        <f>IF(Tabela_Resultado_Resumo[[#This Row],[Valor]]=0,"",Tabela_Resultado_Resumo[[#This Row],[Valor]]/$P$13)</f>
        <v/>
      </c>
      <c r="N15" s="41" t="str">
        <f>IF(Tabela_Resultado_Resumo[[#This Row],[Refeições desperdiçadas]]="","",Tabela_Resultado_Resumo[[#This Row],[Refeições desperdiçadas]]/4)</f>
        <v/>
      </c>
      <c r="P15" s="38"/>
      <c r="Q15" s="39"/>
      <c r="R15" s="38"/>
    </row>
    <row r="16" spans="4:18" ht="19.5" x14ac:dyDescent="0.4">
      <c r="D16" s="48"/>
      <c r="E16" s="48"/>
      <c r="F16" s="48"/>
      <c r="G16" s="48"/>
      <c r="H16" s="50"/>
      <c r="J16" s="17" t="s">
        <v>20</v>
      </c>
      <c r="K16" s="12">
        <f>SUMIF(Tabela_Resultados[Mês],Tabela_Resultado_Resumo[[#This Row],[Mês]],Tabela_Resultados[Peso (em Kg)])</f>
        <v>6</v>
      </c>
      <c r="L16" s="42">
        <f>SUMIF(Tabela_Resultados[Mês],Tabela_Resultado_Resumo[[#This Row],[Mês]],Tabela_Resultados[Valor, em reais, desperdiçado (média)])</f>
        <v>49.9</v>
      </c>
      <c r="M16" s="40">
        <f>IF(Tabela_Resultado_Resumo[[#This Row],[Valor]]=0,"",Tabela_Resultado_Resumo[[#This Row],[Valor]]/$P$13)</f>
        <v>62.62854980236046</v>
      </c>
      <c r="N16" s="41">
        <f>IF(Tabela_Resultado_Resumo[[#This Row],[Refeições desperdiçadas]]="","",Tabela_Resultado_Resumo[[#This Row],[Refeições desperdiçadas]]/4)</f>
        <v>15.657137450590115</v>
      </c>
      <c r="P16" s="38"/>
      <c r="Q16" s="39"/>
      <c r="R16" s="38"/>
    </row>
    <row r="17" spans="4:18" ht="19.5" x14ac:dyDescent="0.4">
      <c r="D17" s="48"/>
      <c r="E17" s="48"/>
      <c r="F17" s="48"/>
      <c r="G17" s="48"/>
      <c r="H17" s="50"/>
      <c r="J17" s="17" t="s">
        <v>21</v>
      </c>
      <c r="K17" s="12">
        <f>SUMIF(Tabela_Resultados[Mês],Tabela_Resultado_Resumo[[#This Row],[Mês]],Tabela_Resultados[Peso (em Kg)])</f>
        <v>0</v>
      </c>
      <c r="L17" s="42">
        <f>SUMIF(Tabela_Resultados[Mês],Tabela_Resultado_Resumo[[#This Row],[Mês]],Tabela_Resultados[Valor, em reais, desperdiçado (média)])</f>
        <v>0</v>
      </c>
      <c r="M17" s="40" t="str">
        <f>IF(Tabela_Resultado_Resumo[[#This Row],[Valor]]=0,"",Tabela_Resultado_Resumo[[#This Row],[Valor]]/$P$13)</f>
        <v/>
      </c>
      <c r="N17" s="41" t="str">
        <f>IF(Tabela_Resultado_Resumo[[#This Row],[Refeições desperdiçadas]]="","",Tabela_Resultado_Resumo[[#This Row],[Refeições desperdiçadas]]/4)</f>
        <v/>
      </c>
      <c r="P17" s="38"/>
      <c r="Q17" s="39"/>
      <c r="R17" s="38"/>
    </row>
    <row r="18" spans="4:18" ht="19.5" x14ac:dyDescent="0.4">
      <c r="D18" s="48"/>
      <c r="E18" s="48"/>
      <c r="F18" s="48"/>
      <c r="G18" s="48"/>
      <c r="H18" s="50"/>
      <c r="J18" s="17" t="s">
        <v>22</v>
      </c>
      <c r="K18" s="12">
        <f>SUMIF(Tabela_Resultados[Mês],Tabela_Resultado_Resumo[[#This Row],[Mês]],Tabela_Resultados[Peso (em Kg)])</f>
        <v>0</v>
      </c>
      <c r="L18" s="42">
        <f>SUMIF(Tabela_Resultados[Mês],Tabela_Resultado_Resumo[[#This Row],[Mês]],Tabela_Resultados[Valor, em reais, desperdiçado (média)])</f>
        <v>0</v>
      </c>
      <c r="M18" s="40" t="str">
        <f>IF(Tabela_Resultado_Resumo[[#This Row],[Valor]]=0,"",Tabela_Resultado_Resumo[[#This Row],[Valor]]/$P$13)</f>
        <v/>
      </c>
      <c r="N18" s="41" t="str">
        <f>IF(Tabela_Resultado_Resumo[[#This Row],[Refeições desperdiçadas]]="","",Tabela_Resultado_Resumo[[#This Row],[Refeições desperdiçadas]]/4)</f>
        <v/>
      </c>
      <c r="P18" s="38"/>
      <c r="Q18" s="39"/>
      <c r="R18" s="38"/>
    </row>
    <row r="19" spans="4:18" ht="19.5" x14ac:dyDescent="0.4">
      <c r="D19" s="48"/>
      <c r="E19" s="48"/>
      <c r="F19" s="48"/>
      <c r="G19" s="48"/>
      <c r="H19" s="50"/>
      <c r="J19" s="17" t="s">
        <v>23</v>
      </c>
      <c r="K19" s="12">
        <f>SUMIF(Tabela_Resultados[Mês],Tabela_Resultado_Resumo[[#This Row],[Mês]],Tabela_Resultados[Peso (em Kg)])</f>
        <v>0</v>
      </c>
      <c r="L19" s="42">
        <f>SUMIF(Tabela_Resultados[Mês],Tabela_Resultado_Resumo[[#This Row],[Mês]],Tabela_Resultados[Valor, em reais, desperdiçado (média)])</f>
        <v>0</v>
      </c>
      <c r="M19" s="40" t="str">
        <f>IF(Tabela_Resultado_Resumo[[#This Row],[Valor]]=0,"",Tabela_Resultado_Resumo[[#This Row],[Valor]]/$P$13)</f>
        <v/>
      </c>
      <c r="N19" s="41" t="str">
        <f>IF(Tabela_Resultado_Resumo[[#This Row],[Refeições desperdiçadas]]="","",Tabela_Resultado_Resumo[[#This Row],[Refeições desperdiçadas]]/4)</f>
        <v/>
      </c>
      <c r="P19" s="38"/>
      <c r="Q19" s="39"/>
      <c r="R19" s="38"/>
    </row>
    <row r="20" spans="4:18" ht="19.5" x14ac:dyDescent="0.4">
      <c r="D20" s="48"/>
      <c r="E20" s="48"/>
      <c r="F20" s="48"/>
      <c r="G20" s="48"/>
      <c r="H20" s="50"/>
      <c r="J20" s="17" t="s">
        <v>45</v>
      </c>
      <c r="K20" s="12">
        <f>SUMIF(Tabela_Resultados[Mês],Tabela_Resultado_Resumo[[#This Row],[Mês]],Tabela_Resultados[Peso (em Kg)])</f>
        <v>0</v>
      </c>
      <c r="L20" s="42">
        <f>SUMIF(Tabela_Resultados[Mês],Tabela_Resultado_Resumo[[#This Row],[Mês]],Tabela_Resultados[Valor, em reais, desperdiçado (média)])</f>
        <v>0</v>
      </c>
      <c r="M20" s="36" t="str">
        <f>IF(Tabela_Resultado_Resumo[[#This Row],[Valor]]=0,"",Tabela_Resultado_Resumo[[#This Row],[Valor]]/$P$13)</f>
        <v/>
      </c>
      <c r="N20" s="41" t="str">
        <f>IF(Tabela_Resultado_Resumo[[#This Row],[Refeições desperdiçadas]]="","",Tabela_Resultado_Resumo[[#This Row],[Refeições desperdiçadas]]/4)</f>
        <v/>
      </c>
      <c r="P20" s="38"/>
      <c r="Q20" s="39"/>
      <c r="R20" s="38"/>
    </row>
    <row r="21" spans="4:18" ht="19.5" x14ac:dyDescent="0.4">
      <c r="D21" s="48"/>
      <c r="E21" s="48"/>
      <c r="F21" s="48"/>
      <c r="G21" s="48"/>
      <c r="H21" s="50"/>
      <c r="J21" s="17" t="s">
        <v>46</v>
      </c>
      <c r="K21" s="12">
        <f>SUMIF(Tabela_Resultados[Mês],Tabela_Resultado_Resumo[[#This Row],[Mês]],Tabela_Resultados[Peso (em Kg)])</f>
        <v>0</v>
      </c>
      <c r="L21" s="42">
        <f>SUMIF(Tabela_Resultados[Mês],Tabela_Resultado_Resumo[[#This Row],[Mês]],Tabela_Resultados[Valor, em reais, desperdiçado (média)])</f>
        <v>0</v>
      </c>
      <c r="M21" s="36" t="str">
        <f>IF(Tabela_Resultado_Resumo[[#This Row],[Valor]]=0,"",Tabela_Resultado_Resumo[[#This Row],[Valor]]/$P$13)</f>
        <v/>
      </c>
      <c r="N21" s="41" t="str">
        <f>IF(Tabela_Resultado_Resumo[[#This Row],[Refeições desperdiçadas]]="","",Tabela_Resultado_Resumo[[#This Row],[Refeições desperdiçadas]]/4)</f>
        <v/>
      </c>
      <c r="P21" s="38"/>
      <c r="Q21" s="39"/>
      <c r="R21" s="38"/>
    </row>
    <row r="22" spans="4:18" ht="19.5" x14ac:dyDescent="0.4">
      <c r="D22" s="48"/>
      <c r="E22" s="48"/>
      <c r="F22" s="48"/>
      <c r="G22" s="48"/>
      <c r="H22" s="50"/>
      <c r="J22" s="17" t="s">
        <v>47</v>
      </c>
      <c r="K22" s="12">
        <f>SUMIF(Tabela_Resultados[Mês],Tabela_Resultado_Resumo[[#This Row],[Mês]],Tabela_Resultados[Peso (em Kg)])</f>
        <v>0</v>
      </c>
      <c r="L22" s="42">
        <f>SUMIF(Tabela_Resultados[Mês],Tabela_Resultado_Resumo[[#This Row],[Mês]],Tabela_Resultados[Valor, em reais, desperdiçado (média)])</f>
        <v>0</v>
      </c>
      <c r="M22" s="36" t="str">
        <f>IF(Tabela_Resultado_Resumo[[#This Row],[Valor]]=0,"",Tabela_Resultado_Resumo[[#This Row],[Valor]]/$P$13)</f>
        <v/>
      </c>
      <c r="N22" s="41" t="str">
        <f>IF(Tabela_Resultado_Resumo[[#This Row],[Refeições desperdiçadas]]="","",Tabela_Resultado_Resumo[[#This Row],[Refeições desperdiçadas]]/4)</f>
        <v/>
      </c>
      <c r="P22" s="38"/>
      <c r="Q22" s="39"/>
      <c r="R22" s="38"/>
    </row>
    <row r="23" spans="4:18" ht="19.5" x14ac:dyDescent="0.4">
      <c r="D23" s="48"/>
      <c r="E23" s="48"/>
      <c r="F23" s="48"/>
      <c r="G23" s="48"/>
      <c r="H23" s="50"/>
      <c r="J23" s="17" t="s">
        <v>48</v>
      </c>
      <c r="K23" s="12">
        <f>SUMIF(Tabela_Resultados[Mês],Tabela_Resultado_Resumo[[#This Row],[Mês]],Tabela_Resultados[Peso (em Kg)])</f>
        <v>0</v>
      </c>
      <c r="L23" s="42">
        <f>SUMIF(Tabela_Resultados[Mês],Tabela_Resultado_Resumo[[#This Row],[Mês]],Tabela_Resultados[Valor, em reais, desperdiçado (média)])</f>
        <v>0</v>
      </c>
      <c r="M23" s="36" t="str">
        <f>IF(Tabela_Resultado_Resumo[[#This Row],[Valor]]=0,"",Tabela_Resultado_Resumo[[#This Row],[Valor]]/$P$13)</f>
        <v/>
      </c>
      <c r="N23" s="41" t="str">
        <f>IF(Tabela_Resultado_Resumo[[#This Row],[Refeições desperdiçadas]]="","",Tabela_Resultado_Resumo[[#This Row],[Refeições desperdiçadas]]/4)</f>
        <v/>
      </c>
      <c r="P23" s="38"/>
      <c r="Q23" s="39"/>
      <c r="R23" s="38"/>
    </row>
    <row r="24" spans="4:18" ht="19.5" x14ac:dyDescent="0.4">
      <c r="D24" s="48"/>
      <c r="E24" s="48"/>
      <c r="F24" s="48"/>
      <c r="G24" s="48"/>
      <c r="H24" s="50"/>
      <c r="J24" s="17" t="s">
        <v>49</v>
      </c>
      <c r="K24" s="12">
        <f>SUMIF(Tabela_Resultados[Mês],Tabela_Resultado_Resumo[[#This Row],[Mês]],Tabela_Resultados[Peso (em Kg)])</f>
        <v>0</v>
      </c>
      <c r="L24" s="42">
        <f>SUMIF(Tabela_Resultados[Mês],Tabela_Resultado_Resumo[[#This Row],[Mês]],Tabela_Resultados[Valor, em reais, desperdiçado (média)])</f>
        <v>0</v>
      </c>
      <c r="M24" s="36" t="str">
        <f>IF(Tabela_Resultado_Resumo[[#This Row],[Valor]]=0,"",Tabela_Resultado_Resumo[[#This Row],[Valor]]/$P$13)</f>
        <v/>
      </c>
      <c r="N24" s="41" t="str">
        <f>IF(Tabela_Resultado_Resumo[[#This Row],[Refeições desperdiçadas]]="","",Tabela_Resultado_Resumo[[#This Row],[Refeições desperdiçadas]]/4)</f>
        <v/>
      </c>
      <c r="P24" s="38"/>
      <c r="Q24" s="39"/>
      <c r="R24" s="38"/>
    </row>
    <row r="25" spans="4:18" ht="19.5" x14ac:dyDescent="0.4">
      <c r="D25" s="48"/>
      <c r="E25" s="48"/>
      <c r="F25" s="48"/>
      <c r="G25" s="48"/>
      <c r="H25" s="50"/>
    </row>
    <row r="26" spans="4:18" ht="19.5" x14ac:dyDescent="0.4">
      <c r="D26" s="48"/>
      <c r="E26" s="48"/>
      <c r="F26" s="48"/>
      <c r="G26" s="48"/>
      <c r="H26" s="50"/>
    </row>
    <row r="27" spans="4:18" ht="19.5" x14ac:dyDescent="0.4">
      <c r="D27" s="48"/>
      <c r="E27" s="48"/>
      <c r="F27" s="48"/>
      <c r="G27" s="48"/>
      <c r="H27" s="50"/>
      <c r="M27" s="44"/>
    </row>
    <row r="28" spans="4:18" ht="19.5" x14ac:dyDescent="0.4">
      <c r="D28" s="48"/>
      <c r="E28" s="48"/>
      <c r="F28" s="48"/>
      <c r="G28" s="48"/>
      <c r="H28" s="50"/>
      <c r="M28" s="44"/>
    </row>
  </sheetData>
  <mergeCells count="1">
    <mergeCell ref="D4:L6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66A5D-D7F5-484B-AF5E-92BDE9938A6F}">
  <sheetPr codeName="Sheet1"/>
  <dimension ref="C1:AB33"/>
  <sheetViews>
    <sheetView showGridLines="0" zoomScale="80" zoomScaleNormal="80" workbookViewId="0">
      <selection activeCell="R2" sqref="R2"/>
    </sheetView>
  </sheetViews>
  <sheetFormatPr defaultColWidth="8.85546875" defaultRowHeight="15" x14ac:dyDescent="0.25"/>
  <cols>
    <col min="1" max="18" width="8.85546875" style="2"/>
    <col min="19" max="19" width="39.7109375" style="2" bestFit="1" customWidth="1"/>
    <col min="20" max="16384" width="8.85546875" style="2"/>
  </cols>
  <sheetData>
    <row r="1" spans="3:28" s="4" customFormat="1" x14ac:dyDescent="0.25">
      <c r="O1" s="13" t="s">
        <v>26</v>
      </c>
    </row>
    <row r="2" spans="3:28" s="4" customFormat="1" ht="15.75" thickBot="1" x14ac:dyDescent="0.3"/>
    <row r="3" spans="3:28" s="4" customFormat="1" ht="23.25" thickTop="1" x14ac:dyDescent="0.45">
      <c r="C3" s="97" t="s">
        <v>27</v>
      </c>
      <c r="D3" s="98"/>
      <c r="E3" s="98"/>
      <c r="F3" s="98"/>
      <c r="G3" s="98"/>
      <c r="H3" s="99"/>
      <c r="N3" s="68" t="s">
        <v>24</v>
      </c>
      <c r="O3" s="96"/>
      <c r="P3" s="69"/>
      <c r="Z3" s="68" t="s">
        <v>25</v>
      </c>
      <c r="AA3" s="96"/>
      <c r="AB3" s="69"/>
    </row>
    <row r="4" spans="3:28" s="4" customFormat="1" ht="15" customHeight="1" thickBot="1" x14ac:dyDescent="0.3">
      <c r="C4" s="100"/>
      <c r="D4" s="101"/>
      <c r="E4" s="101"/>
      <c r="F4" s="101"/>
      <c r="G4" s="101"/>
      <c r="H4" s="102"/>
      <c r="N4" s="104" t="str">
        <f>IF(SUM(Resultados!G13:G15)=0,"",O1 &amp; " " &amp; SUM(Resultados!G13:G15))</f>
        <v>Kg: 6</v>
      </c>
      <c r="O4" s="105"/>
      <c r="P4" s="106"/>
      <c r="Z4" s="110">
        <f>IF(SUM(Resultados!H13:H15)=0,"",SUM(Resultados!H13:H15))</f>
        <v>49.9</v>
      </c>
      <c r="AA4" s="111"/>
      <c r="AB4" s="112"/>
    </row>
    <row r="5" spans="3:28" s="4" customFormat="1" ht="15" customHeight="1" thickTop="1" x14ac:dyDescent="0.25">
      <c r="N5" s="104"/>
      <c r="O5" s="105"/>
      <c r="P5" s="106"/>
      <c r="Z5" s="113"/>
      <c r="AA5" s="111"/>
      <c r="AB5" s="112"/>
    </row>
    <row r="6" spans="3:28" s="4" customFormat="1" ht="15" customHeight="1" thickBot="1" x14ac:dyDescent="0.3">
      <c r="N6" s="107"/>
      <c r="O6" s="108"/>
      <c r="P6" s="109"/>
      <c r="Z6" s="114"/>
      <c r="AA6" s="115"/>
      <c r="AB6" s="116"/>
    </row>
    <row r="7" spans="3:28" s="4" customFormat="1" ht="15.75" thickTop="1" x14ac:dyDescent="0.25"/>
    <row r="8" spans="3:28" s="4" customFormat="1" x14ac:dyDescent="0.25"/>
    <row r="9" spans="3:28" s="4" customFormat="1" x14ac:dyDescent="0.25"/>
    <row r="10" spans="3:28" s="25" customFormat="1" ht="15.75" thickBot="1" x14ac:dyDescent="0.3"/>
    <row r="11" spans="3:28" ht="15.75" thickTop="1" x14ac:dyDescent="0.25">
      <c r="D11" s="43" t="s">
        <v>43</v>
      </c>
    </row>
    <row r="12" spans="3:28" x14ac:dyDescent="0.25">
      <c r="D12" s="43" t="s">
        <v>44</v>
      </c>
    </row>
    <row r="13" spans="3:28" x14ac:dyDescent="0.25">
      <c r="D13" s="43" t="s">
        <v>18</v>
      </c>
    </row>
    <row r="14" spans="3:28" x14ac:dyDescent="0.25">
      <c r="D14" s="43" t="s">
        <v>20</v>
      </c>
    </row>
    <row r="15" spans="3:28" x14ac:dyDescent="0.25">
      <c r="D15" s="43" t="s">
        <v>21</v>
      </c>
    </row>
    <row r="16" spans="3:28" x14ac:dyDescent="0.25">
      <c r="D16" s="43" t="s">
        <v>22</v>
      </c>
    </row>
    <row r="17" spans="4:25" x14ac:dyDescent="0.25">
      <c r="D17" s="43" t="s">
        <v>23</v>
      </c>
    </row>
    <row r="18" spans="4:25" x14ac:dyDescent="0.25">
      <c r="D18" s="43" t="s">
        <v>45</v>
      </c>
    </row>
    <row r="19" spans="4:25" x14ac:dyDescent="0.25">
      <c r="D19" s="43" t="s">
        <v>46</v>
      </c>
    </row>
    <row r="20" spans="4:25" x14ac:dyDescent="0.25">
      <c r="D20" s="43" t="s">
        <v>47</v>
      </c>
    </row>
    <row r="21" spans="4:25" x14ac:dyDescent="0.25">
      <c r="D21" s="43" t="s">
        <v>48</v>
      </c>
    </row>
    <row r="22" spans="4:25" x14ac:dyDescent="0.25">
      <c r="D22" s="43" t="s">
        <v>49</v>
      </c>
    </row>
    <row r="26" spans="4:25" ht="15.75" thickBot="1" x14ac:dyDescent="0.3"/>
    <row r="27" spans="4:25" ht="22.5" thickTop="1" thickBot="1" x14ac:dyDescent="0.45">
      <c r="T27" s="95" t="s">
        <v>59</v>
      </c>
      <c r="U27" s="93"/>
      <c r="V27" s="93"/>
      <c r="W27" s="93"/>
      <c r="X27" s="93" t="s">
        <v>20</v>
      </c>
      <c r="Y27" s="94"/>
    </row>
    <row r="28" spans="4:25" ht="16.5" thickTop="1" thickBot="1" x14ac:dyDescent="0.3"/>
    <row r="29" spans="4:25" ht="21.75" thickTop="1" x14ac:dyDescent="0.4">
      <c r="S29" s="45" t="s">
        <v>57</v>
      </c>
      <c r="T29" s="85" t="str">
        <f>IFERROR(VLOOKUP(X27,Resultados!J13:K24,2,0) &amp; "kg","")</f>
        <v>6kg</v>
      </c>
      <c r="U29" s="85"/>
      <c r="V29" s="85"/>
      <c r="W29" s="85"/>
      <c r="X29" s="85"/>
      <c r="Y29" s="86"/>
    </row>
    <row r="30" spans="4:25" ht="21" x14ac:dyDescent="0.4">
      <c r="S30" s="46" t="s">
        <v>56</v>
      </c>
      <c r="T30" s="87" t="str">
        <f>IFERROR("R$ " &amp; VLOOKUP(X27,Resultados!J13:L24,3,0),"")</f>
        <v>R$ 49,9</v>
      </c>
      <c r="U30" s="87"/>
      <c r="V30" s="87"/>
      <c r="W30" s="87"/>
      <c r="X30" s="87"/>
      <c r="Y30" s="88"/>
    </row>
    <row r="31" spans="4:25" ht="21" x14ac:dyDescent="0.4">
      <c r="S31" s="46" t="s">
        <v>60</v>
      </c>
      <c r="T31" s="89">
        <f>IFERROR(VLOOKUP(X27,Resultados!J13:M24,4,0),"")</f>
        <v>62.62854980236046</v>
      </c>
      <c r="U31" s="89"/>
      <c r="V31" s="89"/>
      <c r="W31" s="89"/>
      <c r="X31" s="89"/>
      <c r="Y31" s="90"/>
    </row>
    <row r="32" spans="4:25" ht="21.75" thickBot="1" x14ac:dyDescent="0.45">
      <c r="S32" s="47" t="s">
        <v>58</v>
      </c>
      <c r="T32" s="91">
        <f>IFERROR(VLOOKUP(X27,Resultados!J13:N24,5,0),"")</f>
        <v>15.657137450590115</v>
      </c>
      <c r="U32" s="91"/>
      <c r="V32" s="91"/>
      <c r="W32" s="91"/>
      <c r="X32" s="91"/>
      <c r="Y32" s="92"/>
    </row>
    <row r="33" ht="15.75" thickTop="1" x14ac:dyDescent="0.25"/>
  </sheetData>
  <mergeCells count="11">
    <mergeCell ref="N3:P3"/>
    <mergeCell ref="N4:P6"/>
    <mergeCell ref="Z3:AB3"/>
    <mergeCell ref="Z4:AB6"/>
    <mergeCell ref="C3:H4"/>
    <mergeCell ref="T29:Y29"/>
    <mergeCell ref="T30:Y30"/>
    <mergeCell ref="T31:Y31"/>
    <mergeCell ref="T32:Y32"/>
    <mergeCell ref="X27:Y27"/>
    <mergeCell ref="T27:W27"/>
  </mergeCells>
  <phoneticPr fontId="13" type="noConversion"/>
  <dataValidations count="1">
    <dataValidation type="list" allowBlank="1" showInputMessage="1" showErrorMessage="1" sqref="X27" xr:uid="{715B2318-AD75-4493-946B-4AA1119FF1ED}">
      <formula1>$D$11:$D$22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Cadastro_Desperdício</vt:lpstr>
      <vt:lpstr>Base_Valores</vt:lpstr>
      <vt:lpstr>Resultados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Vieira</dc:creator>
  <cp:lastModifiedBy>user</cp:lastModifiedBy>
  <dcterms:created xsi:type="dcterms:W3CDTF">2024-03-12T21:37:43Z</dcterms:created>
  <dcterms:modified xsi:type="dcterms:W3CDTF">2024-04-15T13:16:12Z</dcterms:modified>
</cp:coreProperties>
</file>